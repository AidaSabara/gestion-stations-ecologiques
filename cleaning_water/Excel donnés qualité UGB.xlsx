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ustapha TOURE\Desktop\M2CE\stage\Partage\"/>
    </mc:Choice>
  </mc:AlternateContent>
  <bookViews>
    <workbookView xWindow="0" yWindow="0" windowWidth="16392" windowHeight="6468" firstSheet="2" activeTab="2"/>
  </bookViews>
  <sheets>
    <sheet name="Entree 1" sheetId="1" r:id="rId1"/>
    <sheet name="Entree FV1" sheetId="2" r:id="rId2"/>
    <sheet name="SFV1a" sheetId="3" r:id="rId3"/>
    <sheet name="SFV1b" sheetId="4" r:id="rId4"/>
    <sheet name="SFV1c" sheetId="5" r:id="rId5"/>
    <sheet name="Entréé FV2" sheetId="6" r:id="rId6"/>
    <sheet name="SFV2a" sheetId="11" r:id="rId7"/>
    <sheet name="SFV2b" sheetId="7" r:id="rId8"/>
    <sheet name="SFHa" sheetId="8" r:id="rId9"/>
    <sheet name="SFHb" sheetId="9" r:id="rId10"/>
    <sheet name="% él FV1" sheetId="10" r:id="rId11"/>
    <sheet name="% él FV2" sheetId="18" r:id="rId12"/>
    <sheet name="% él de la station" sheetId="19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G16" i="1"/>
  <c r="G17" i="1"/>
  <c r="G18" i="1"/>
  <c r="G19" i="1"/>
  <c r="I8" i="19"/>
  <c r="I7" i="19"/>
  <c r="I6" i="19"/>
  <c r="I5" i="19"/>
  <c r="H8" i="19"/>
  <c r="H7" i="19"/>
  <c r="H6" i="19"/>
  <c r="H5" i="19"/>
  <c r="G8" i="19"/>
  <c r="G7" i="19"/>
  <c r="G6" i="19"/>
  <c r="G5" i="19"/>
  <c r="F8" i="19"/>
  <c r="F7" i="19"/>
  <c r="F6" i="19"/>
  <c r="F5" i="19"/>
  <c r="D8" i="19"/>
  <c r="D7" i="19"/>
  <c r="D6" i="19"/>
  <c r="D5" i="19"/>
  <c r="C8" i="19"/>
  <c r="C7" i="19"/>
  <c r="C6" i="19"/>
  <c r="C5" i="19"/>
  <c r="B8" i="19"/>
  <c r="B7" i="19"/>
  <c r="B6" i="19"/>
  <c r="B5" i="19"/>
  <c r="B16" i="18"/>
  <c r="C16" i="18"/>
  <c r="D16" i="18"/>
  <c r="F16" i="18"/>
  <c r="G16" i="18"/>
  <c r="H16" i="18"/>
  <c r="I16" i="18"/>
  <c r="B17" i="18"/>
  <c r="C17" i="18"/>
  <c r="D17" i="18"/>
  <c r="F17" i="18"/>
  <c r="G17" i="18"/>
  <c r="H17" i="18"/>
  <c r="I17" i="18"/>
  <c r="B18" i="18"/>
  <c r="C18" i="18"/>
  <c r="D18" i="18"/>
  <c r="F18" i="18"/>
  <c r="G18" i="18"/>
  <c r="H18" i="18"/>
  <c r="I18" i="18"/>
  <c r="B19" i="18"/>
  <c r="C19" i="18"/>
  <c r="D19" i="18"/>
  <c r="F19" i="18"/>
  <c r="G19" i="18"/>
  <c r="H19" i="18"/>
  <c r="I19" i="18"/>
  <c r="I8" i="18"/>
  <c r="I7" i="18"/>
  <c r="I6" i="18"/>
  <c r="I5" i="18"/>
  <c r="H8" i="18"/>
  <c r="H7" i="18"/>
  <c r="H6" i="18"/>
  <c r="H5" i="18"/>
  <c r="M8" i="6"/>
  <c r="F8" i="18" s="1"/>
  <c r="M7" i="6"/>
  <c r="F7" i="18" s="1"/>
  <c r="M6" i="6"/>
  <c r="G8" i="18"/>
  <c r="G7" i="18"/>
  <c r="G6" i="18"/>
  <c r="G5" i="18"/>
  <c r="F6" i="18"/>
  <c r="F5" i="18"/>
  <c r="D8" i="18"/>
  <c r="D7" i="18"/>
  <c r="D6" i="18"/>
  <c r="D5" i="18"/>
  <c r="C8" i="18"/>
  <c r="C7" i="18"/>
  <c r="C6" i="18"/>
  <c r="C5" i="18"/>
  <c r="B7" i="18"/>
  <c r="B6" i="18"/>
  <c r="B5" i="18"/>
  <c r="I25" i="10" l="1"/>
  <c r="I26" i="10"/>
  <c r="I27" i="10"/>
  <c r="I28" i="10"/>
  <c r="H28" i="10"/>
  <c r="H27" i="10"/>
  <c r="H26" i="10"/>
  <c r="H25" i="10"/>
  <c r="G28" i="10"/>
  <c r="G27" i="10"/>
  <c r="G26" i="10"/>
  <c r="G25" i="10"/>
  <c r="F26" i="10"/>
  <c r="F28" i="10"/>
  <c r="F27" i="10"/>
  <c r="F25" i="10"/>
  <c r="D28" i="10"/>
  <c r="D27" i="10"/>
  <c r="D26" i="10"/>
  <c r="D25" i="10"/>
  <c r="C28" i="10"/>
  <c r="C27" i="10"/>
  <c r="C26" i="10"/>
  <c r="C25" i="10"/>
  <c r="B28" i="10"/>
  <c r="B27" i="10"/>
  <c r="B26" i="10"/>
  <c r="B25" i="10"/>
  <c r="A32" i="10"/>
  <c r="A31" i="10"/>
  <c r="A30" i="10"/>
  <c r="A29" i="10"/>
  <c r="A28" i="10"/>
  <c r="A27" i="10"/>
  <c r="A26" i="10"/>
  <c r="A25" i="10"/>
  <c r="I18" i="10"/>
  <c r="I17" i="10"/>
  <c r="I16" i="10"/>
  <c r="I15" i="10"/>
  <c r="H18" i="10"/>
  <c r="H17" i="10"/>
  <c r="H16" i="10"/>
  <c r="H15" i="10"/>
  <c r="G18" i="10"/>
  <c r="G17" i="10"/>
  <c r="G16" i="10"/>
  <c r="G15" i="10"/>
  <c r="F17" i="10"/>
  <c r="F18" i="10"/>
  <c r="F16" i="10"/>
  <c r="F15" i="10"/>
  <c r="D18" i="10"/>
  <c r="D17" i="10"/>
  <c r="D16" i="10"/>
  <c r="D15" i="10"/>
  <c r="C18" i="10"/>
  <c r="C17" i="10"/>
  <c r="C16" i="10"/>
  <c r="C15" i="10"/>
  <c r="B18" i="10"/>
  <c r="B17" i="10"/>
  <c r="B16" i="10"/>
  <c r="B15" i="10"/>
  <c r="A15" i="10"/>
  <c r="A16" i="10"/>
  <c r="A17" i="10"/>
  <c r="A18" i="10"/>
  <c r="A19" i="10"/>
  <c r="A20" i="10"/>
  <c r="A21" i="10"/>
  <c r="A22" i="10"/>
  <c r="G5" i="10" l="1"/>
  <c r="I8" i="10"/>
  <c r="I7" i="10"/>
  <c r="I6" i="10"/>
  <c r="I5" i="10"/>
  <c r="H8" i="10"/>
  <c r="H7" i="10"/>
  <c r="H6" i="10"/>
  <c r="H5" i="10"/>
  <c r="G8" i="10"/>
  <c r="G7" i="10"/>
  <c r="G6" i="10"/>
  <c r="F8" i="10"/>
  <c r="F5" i="10"/>
  <c r="F7" i="10"/>
  <c r="F6" i="10"/>
  <c r="D8" i="10"/>
  <c r="D7" i="10"/>
  <c r="D6" i="10"/>
  <c r="D5" i="10"/>
  <c r="C8" i="10"/>
  <c r="C7" i="10"/>
  <c r="C6" i="10"/>
  <c r="C5" i="10"/>
  <c r="B8" i="10"/>
  <c r="B7" i="10"/>
  <c r="B6" i="10"/>
  <c r="B5" i="10"/>
  <c r="F15" i="6"/>
  <c r="H15" i="6"/>
  <c r="I15" i="6"/>
  <c r="J15" i="6"/>
  <c r="K15" i="6"/>
  <c r="L15" i="6"/>
  <c r="M15" i="6"/>
  <c r="N15" i="6"/>
  <c r="O15" i="6"/>
  <c r="P15" i="6"/>
  <c r="Q15" i="6"/>
  <c r="R15" i="6"/>
  <c r="S15" i="6"/>
  <c r="F16" i="6"/>
  <c r="H16" i="6"/>
  <c r="I16" i="6"/>
  <c r="J16" i="6"/>
  <c r="K16" i="6"/>
  <c r="L16" i="6"/>
  <c r="M16" i="6"/>
  <c r="N16" i="6"/>
  <c r="O16" i="6"/>
  <c r="P16" i="6"/>
  <c r="Q16" i="6"/>
  <c r="R16" i="6"/>
  <c r="S16" i="6"/>
  <c r="F17" i="6"/>
  <c r="H17" i="6"/>
  <c r="I17" i="6"/>
  <c r="J17" i="6"/>
  <c r="K17" i="6"/>
  <c r="L17" i="6"/>
  <c r="M17" i="6"/>
  <c r="N17" i="6"/>
  <c r="O17" i="6"/>
  <c r="P17" i="6"/>
  <c r="Q17" i="6"/>
  <c r="R17" i="6"/>
  <c r="S17" i="6"/>
  <c r="F18" i="6"/>
  <c r="H18" i="6"/>
  <c r="I18" i="6"/>
  <c r="J18" i="6"/>
  <c r="K18" i="6"/>
  <c r="L18" i="6"/>
  <c r="M18" i="6"/>
  <c r="N18" i="6"/>
  <c r="O18" i="6"/>
  <c r="P18" i="6"/>
  <c r="Q18" i="6"/>
  <c r="R18" i="6"/>
  <c r="S18" i="6"/>
  <c r="F19" i="6"/>
  <c r="H19" i="6"/>
  <c r="I19" i="6"/>
  <c r="I20" i="6" s="1"/>
  <c r="J19" i="6"/>
  <c r="K19" i="6"/>
  <c r="L19" i="6"/>
  <c r="M19" i="6"/>
  <c r="N19" i="6"/>
  <c r="O19" i="6"/>
  <c r="P19" i="6"/>
  <c r="Q19" i="6"/>
  <c r="Q20" i="6" s="1"/>
  <c r="R19" i="6"/>
  <c r="S19" i="6"/>
  <c r="F20" i="6"/>
  <c r="H20" i="6"/>
  <c r="J20" i="6"/>
  <c r="K20" i="6"/>
  <c r="L20" i="6"/>
  <c r="N20" i="6"/>
  <c r="O20" i="6"/>
  <c r="P20" i="6"/>
  <c r="R20" i="6"/>
  <c r="S20" i="6"/>
  <c r="S19" i="11"/>
  <c r="S20" i="11" s="1"/>
  <c r="R19" i="11"/>
  <c r="Q19" i="11"/>
  <c r="Q20" i="11" s="1"/>
  <c r="P19" i="11"/>
  <c r="O19" i="11"/>
  <c r="O20" i="11" s="1"/>
  <c r="N19" i="11"/>
  <c r="M19" i="11"/>
  <c r="M20" i="11" s="1"/>
  <c r="L19" i="11"/>
  <c r="K19" i="11"/>
  <c r="K20" i="11" s="1"/>
  <c r="J19" i="11"/>
  <c r="I19" i="11"/>
  <c r="I20" i="11" s="1"/>
  <c r="H19" i="11"/>
  <c r="F19" i="11"/>
  <c r="F20" i="11" s="1"/>
  <c r="S18" i="11"/>
  <c r="R18" i="11"/>
  <c r="Q18" i="11"/>
  <c r="P18" i="11"/>
  <c r="O18" i="11"/>
  <c r="N18" i="11"/>
  <c r="M18" i="11"/>
  <c r="L18" i="11"/>
  <c r="K18" i="11"/>
  <c r="J18" i="11"/>
  <c r="I18" i="11"/>
  <c r="H18" i="11"/>
  <c r="F18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F17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F16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F15" i="11"/>
  <c r="M20" i="6" l="1"/>
  <c r="H20" i="11"/>
  <c r="L20" i="11"/>
  <c r="P20" i="11"/>
  <c r="J20" i="11"/>
  <c r="N20" i="11"/>
  <c r="R20" i="11"/>
  <c r="F15" i="2" l="1"/>
  <c r="H15" i="2"/>
  <c r="I15" i="2"/>
  <c r="J15" i="2"/>
  <c r="K15" i="2"/>
  <c r="L15" i="2"/>
  <c r="M15" i="2"/>
  <c r="N15" i="2"/>
  <c r="O15" i="2"/>
  <c r="P15" i="2"/>
  <c r="Q15" i="2"/>
  <c r="R15" i="2"/>
  <c r="S15" i="2"/>
  <c r="F16" i="2"/>
  <c r="H16" i="2"/>
  <c r="I16" i="2"/>
  <c r="J16" i="2"/>
  <c r="K16" i="2"/>
  <c r="L16" i="2"/>
  <c r="M16" i="2"/>
  <c r="N16" i="2"/>
  <c r="O16" i="2"/>
  <c r="P16" i="2"/>
  <c r="Q16" i="2"/>
  <c r="R16" i="2"/>
  <c r="S16" i="2"/>
  <c r="F17" i="2"/>
  <c r="H17" i="2"/>
  <c r="I17" i="2"/>
  <c r="J17" i="2"/>
  <c r="K17" i="2"/>
  <c r="L17" i="2"/>
  <c r="M17" i="2"/>
  <c r="N17" i="2"/>
  <c r="O17" i="2"/>
  <c r="P17" i="2"/>
  <c r="Q17" i="2"/>
  <c r="R17" i="2"/>
  <c r="S17" i="2"/>
  <c r="F18" i="2"/>
  <c r="H18" i="2"/>
  <c r="I18" i="2"/>
  <c r="J18" i="2"/>
  <c r="K18" i="2"/>
  <c r="L18" i="2"/>
  <c r="M18" i="2"/>
  <c r="N18" i="2"/>
  <c r="O18" i="2"/>
  <c r="P18" i="2"/>
  <c r="Q18" i="2"/>
  <c r="R18" i="2"/>
  <c r="S18" i="2"/>
  <c r="F19" i="2"/>
  <c r="F20" i="2" s="1"/>
  <c r="H19" i="2"/>
  <c r="I19" i="2"/>
  <c r="J19" i="2"/>
  <c r="J20" i="2" s="1"/>
  <c r="K19" i="2"/>
  <c r="L19" i="2"/>
  <c r="M19" i="2"/>
  <c r="N19" i="2"/>
  <c r="O19" i="2"/>
  <c r="P19" i="2"/>
  <c r="Q19" i="2"/>
  <c r="R19" i="2"/>
  <c r="S19" i="2"/>
  <c r="H20" i="2"/>
  <c r="O19" i="1"/>
  <c r="O18" i="1"/>
  <c r="O17" i="1"/>
  <c r="O16" i="1"/>
  <c r="O15" i="1"/>
  <c r="G20" i="1"/>
  <c r="J18" i="1"/>
  <c r="S20" i="2" l="1"/>
  <c r="O20" i="2"/>
  <c r="K20" i="2"/>
  <c r="Q20" i="2"/>
  <c r="M20" i="2"/>
  <c r="I20" i="2"/>
  <c r="P20" i="2"/>
  <c r="L20" i="2"/>
  <c r="O20" i="1"/>
  <c r="R20" i="2"/>
  <c r="N20" i="2"/>
  <c r="F15" i="5"/>
  <c r="H15" i="5"/>
  <c r="I15" i="5"/>
  <c r="J15" i="5"/>
  <c r="K15" i="5"/>
  <c r="L15" i="5"/>
  <c r="M15" i="5"/>
  <c r="N15" i="5"/>
  <c r="O15" i="5"/>
  <c r="P15" i="5"/>
  <c r="Q15" i="5"/>
  <c r="R15" i="5"/>
  <c r="S15" i="5"/>
  <c r="F16" i="5"/>
  <c r="H16" i="5"/>
  <c r="I16" i="5"/>
  <c r="I20" i="5" s="1"/>
  <c r="J16" i="5"/>
  <c r="K16" i="5"/>
  <c r="L16" i="5"/>
  <c r="M16" i="5"/>
  <c r="N16" i="5"/>
  <c r="O16" i="5"/>
  <c r="P16" i="5"/>
  <c r="Q16" i="5"/>
  <c r="Q20" i="5" s="1"/>
  <c r="R16" i="5"/>
  <c r="S16" i="5"/>
  <c r="F17" i="5"/>
  <c r="H17" i="5"/>
  <c r="I17" i="5"/>
  <c r="J17" i="5"/>
  <c r="K17" i="5"/>
  <c r="L17" i="5"/>
  <c r="M17" i="5"/>
  <c r="N17" i="5"/>
  <c r="O17" i="5"/>
  <c r="P17" i="5"/>
  <c r="Q17" i="5"/>
  <c r="R17" i="5"/>
  <c r="S17" i="5"/>
  <c r="F18" i="5"/>
  <c r="H18" i="5"/>
  <c r="I18" i="5"/>
  <c r="J18" i="5"/>
  <c r="K18" i="5"/>
  <c r="L18" i="5"/>
  <c r="M18" i="5"/>
  <c r="N18" i="5"/>
  <c r="O18" i="5"/>
  <c r="P18" i="5"/>
  <c r="Q18" i="5"/>
  <c r="R18" i="5"/>
  <c r="S18" i="5"/>
  <c r="F19" i="5"/>
  <c r="F20" i="5" s="1"/>
  <c r="H19" i="5"/>
  <c r="I19" i="5"/>
  <c r="J19" i="5"/>
  <c r="J20" i="5" s="1"/>
  <c r="K19" i="5"/>
  <c r="K20" i="5" s="1"/>
  <c r="L19" i="5"/>
  <c r="M19" i="5"/>
  <c r="N19" i="5"/>
  <c r="O19" i="5"/>
  <c r="O20" i="5" s="1"/>
  <c r="P19" i="5"/>
  <c r="Q19" i="5"/>
  <c r="R19" i="5"/>
  <c r="S19" i="5"/>
  <c r="S20" i="5" s="1"/>
  <c r="L20" i="5"/>
  <c r="P20" i="5"/>
  <c r="F15" i="4"/>
  <c r="H15" i="4"/>
  <c r="I15" i="4"/>
  <c r="J15" i="4"/>
  <c r="K15" i="4"/>
  <c r="L15" i="4"/>
  <c r="M15" i="4"/>
  <c r="N15" i="4"/>
  <c r="O15" i="4"/>
  <c r="P15" i="4"/>
  <c r="Q15" i="4"/>
  <c r="R15" i="4"/>
  <c r="S15" i="4"/>
  <c r="F16" i="4"/>
  <c r="H16" i="4"/>
  <c r="I16" i="4"/>
  <c r="J16" i="4"/>
  <c r="K16" i="4"/>
  <c r="L16" i="4"/>
  <c r="M16" i="4"/>
  <c r="M20" i="4" s="1"/>
  <c r="N16" i="4"/>
  <c r="O16" i="4"/>
  <c r="P16" i="4"/>
  <c r="Q16" i="4"/>
  <c r="R16" i="4"/>
  <c r="S16" i="4"/>
  <c r="F17" i="4"/>
  <c r="H17" i="4"/>
  <c r="I17" i="4"/>
  <c r="J17" i="4"/>
  <c r="K17" i="4"/>
  <c r="L17" i="4"/>
  <c r="M17" i="4"/>
  <c r="N17" i="4"/>
  <c r="O17" i="4"/>
  <c r="P17" i="4"/>
  <c r="Q17" i="4"/>
  <c r="R17" i="4"/>
  <c r="S17" i="4"/>
  <c r="F18" i="4"/>
  <c r="H18" i="4"/>
  <c r="I18" i="4"/>
  <c r="J18" i="4"/>
  <c r="K18" i="4"/>
  <c r="L18" i="4"/>
  <c r="M18" i="4"/>
  <c r="N18" i="4"/>
  <c r="O18" i="4"/>
  <c r="P18" i="4"/>
  <c r="Q18" i="4"/>
  <c r="R18" i="4"/>
  <c r="S18" i="4"/>
  <c r="F19" i="4"/>
  <c r="H19" i="4"/>
  <c r="I19" i="4"/>
  <c r="J19" i="4"/>
  <c r="J20" i="4" s="1"/>
  <c r="K19" i="4"/>
  <c r="K20" i="4" s="1"/>
  <c r="L19" i="4"/>
  <c r="M19" i="4"/>
  <c r="N19" i="4"/>
  <c r="N20" i="4" s="1"/>
  <c r="O19" i="4"/>
  <c r="O20" i="4" s="1"/>
  <c r="P19" i="4"/>
  <c r="Q19" i="4"/>
  <c r="R19" i="4"/>
  <c r="S19" i="4"/>
  <c r="S20" i="4" s="1"/>
  <c r="S19" i="9"/>
  <c r="R19" i="9"/>
  <c r="Q19" i="9"/>
  <c r="Q20" i="9" s="1"/>
  <c r="P19" i="9"/>
  <c r="O19" i="9"/>
  <c r="N19" i="9"/>
  <c r="M19" i="9"/>
  <c r="M20" i="9" s="1"/>
  <c r="L19" i="9"/>
  <c r="K19" i="9"/>
  <c r="J19" i="9"/>
  <c r="I19" i="9"/>
  <c r="I20" i="9" s="1"/>
  <c r="H19" i="9"/>
  <c r="F19" i="9"/>
  <c r="S18" i="9"/>
  <c r="R18" i="9"/>
  <c r="Q18" i="9"/>
  <c r="P18" i="9"/>
  <c r="O18" i="9"/>
  <c r="N18" i="9"/>
  <c r="M18" i="9"/>
  <c r="L18" i="9"/>
  <c r="K18" i="9"/>
  <c r="J18" i="9"/>
  <c r="I18" i="9"/>
  <c r="H18" i="9"/>
  <c r="F18" i="9"/>
  <c r="S17" i="9"/>
  <c r="R17" i="9"/>
  <c r="Q17" i="9"/>
  <c r="P17" i="9"/>
  <c r="O17" i="9"/>
  <c r="N17" i="9"/>
  <c r="M17" i="9"/>
  <c r="L17" i="9"/>
  <c r="K17" i="9"/>
  <c r="J17" i="9"/>
  <c r="I17" i="9"/>
  <c r="H17" i="9"/>
  <c r="F17" i="9"/>
  <c r="S16" i="9"/>
  <c r="R16" i="9"/>
  <c r="Q16" i="9"/>
  <c r="P16" i="9"/>
  <c r="O16" i="9"/>
  <c r="N16" i="9"/>
  <c r="M16" i="9"/>
  <c r="L16" i="9"/>
  <c r="K16" i="9"/>
  <c r="J16" i="9"/>
  <c r="I16" i="9"/>
  <c r="H16" i="9"/>
  <c r="F16" i="9"/>
  <c r="S15" i="9"/>
  <c r="R15" i="9"/>
  <c r="Q15" i="9"/>
  <c r="P15" i="9"/>
  <c r="O15" i="9"/>
  <c r="N15" i="9"/>
  <c r="M15" i="9"/>
  <c r="L15" i="9"/>
  <c r="K15" i="9"/>
  <c r="J15" i="9"/>
  <c r="I15" i="9"/>
  <c r="H15" i="9"/>
  <c r="F15" i="9"/>
  <c r="S19" i="8"/>
  <c r="R19" i="8"/>
  <c r="Q19" i="8"/>
  <c r="P19" i="8"/>
  <c r="O19" i="8"/>
  <c r="N19" i="8"/>
  <c r="M19" i="8"/>
  <c r="L19" i="8"/>
  <c r="K19" i="8"/>
  <c r="J19" i="8"/>
  <c r="I19" i="8"/>
  <c r="H19" i="8"/>
  <c r="F19" i="8"/>
  <c r="S18" i="8"/>
  <c r="R18" i="8"/>
  <c r="Q18" i="8"/>
  <c r="P18" i="8"/>
  <c r="O18" i="8"/>
  <c r="N18" i="8"/>
  <c r="M18" i="8"/>
  <c r="L18" i="8"/>
  <c r="K18" i="8"/>
  <c r="J18" i="8"/>
  <c r="I18" i="8"/>
  <c r="H18" i="8"/>
  <c r="F18" i="8"/>
  <c r="S17" i="8"/>
  <c r="R17" i="8"/>
  <c r="Q17" i="8"/>
  <c r="P17" i="8"/>
  <c r="O17" i="8"/>
  <c r="N17" i="8"/>
  <c r="M17" i="8"/>
  <c r="L17" i="8"/>
  <c r="K17" i="8"/>
  <c r="J17" i="8"/>
  <c r="I17" i="8"/>
  <c r="H17" i="8"/>
  <c r="F17" i="8"/>
  <c r="S16" i="8"/>
  <c r="R16" i="8"/>
  <c r="Q16" i="8"/>
  <c r="P16" i="8"/>
  <c r="O16" i="8"/>
  <c r="N16" i="8"/>
  <c r="M16" i="8"/>
  <c r="L16" i="8"/>
  <c r="K16" i="8"/>
  <c r="J16" i="8"/>
  <c r="I16" i="8"/>
  <c r="H16" i="8"/>
  <c r="F16" i="8"/>
  <c r="S15" i="8"/>
  <c r="R15" i="8"/>
  <c r="Q15" i="8"/>
  <c r="P15" i="8"/>
  <c r="O15" i="8"/>
  <c r="N15" i="8"/>
  <c r="M15" i="8"/>
  <c r="L15" i="8"/>
  <c r="K15" i="8"/>
  <c r="J15" i="8"/>
  <c r="I15" i="8"/>
  <c r="H15" i="8"/>
  <c r="F15" i="8"/>
  <c r="S19" i="7"/>
  <c r="S20" i="7" s="1"/>
  <c r="R19" i="7"/>
  <c r="R20" i="7" s="1"/>
  <c r="Q19" i="7"/>
  <c r="P19" i="7"/>
  <c r="O19" i="7"/>
  <c r="O20" i="7" s="1"/>
  <c r="N19" i="7"/>
  <c r="N20" i="7" s="1"/>
  <c r="M19" i="7"/>
  <c r="L19" i="7"/>
  <c r="K19" i="7"/>
  <c r="K20" i="7" s="1"/>
  <c r="J19" i="7"/>
  <c r="J20" i="7" s="1"/>
  <c r="I19" i="7"/>
  <c r="H19" i="7"/>
  <c r="F19" i="7"/>
  <c r="S18" i="7"/>
  <c r="R18" i="7"/>
  <c r="Q18" i="7"/>
  <c r="P18" i="7"/>
  <c r="O18" i="7"/>
  <c r="N18" i="7"/>
  <c r="M18" i="7"/>
  <c r="L18" i="7"/>
  <c r="K18" i="7"/>
  <c r="J18" i="7"/>
  <c r="I18" i="7"/>
  <c r="H18" i="7"/>
  <c r="F18" i="7"/>
  <c r="S17" i="7"/>
  <c r="R17" i="7"/>
  <c r="Q17" i="7"/>
  <c r="P17" i="7"/>
  <c r="O17" i="7"/>
  <c r="N17" i="7"/>
  <c r="M17" i="7"/>
  <c r="L17" i="7"/>
  <c r="K17" i="7"/>
  <c r="J17" i="7"/>
  <c r="I17" i="7"/>
  <c r="H17" i="7"/>
  <c r="F17" i="7"/>
  <c r="S16" i="7"/>
  <c r="R16" i="7"/>
  <c r="Q16" i="7"/>
  <c r="P16" i="7"/>
  <c r="O16" i="7"/>
  <c r="N16" i="7"/>
  <c r="M16" i="7"/>
  <c r="L16" i="7"/>
  <c r="K16" i="7"/>
  <c r="J16" i="7"/>
  <c r="I16" i="7"/>
  <c r="H16" i="7"/>
  <c r="F16" i="7"/>
  <c r="S15" i="7"/>
  <c r="R15" i="7"/>
  <c r="Q15" i="7"/>
  <c r="P15" i="7"/>
  <c r="O15" i="7"/>
  <c r="N15" i="7"/>
  <c r="M15" i="7"/>
  <c r="L15" i="7"/>
  <c r="K15" i="7"/>
  <c r="J15" i="7"/>
  <c r="I15" i="7"/>
  <c r="H15" i="7"/>
  <c r="F15" i="7"/>
  <c r="S19" i="3"/>
  <c r="R19" i="3"/>
  <c r="Q19" i="3"/>
  <c r="P19" i="3"/>
  <c r="O19" i="3"/>
  <c r="N19" i="3"/>
  <c r="M19" i="3"/>
  <c r="L19" i="3"/>
  <c r="K19" i="3"/>
  <c r="J19" i="3"/>
  <c r="I19" i="3"/>
  <c r="H19" i="3"/>
  <c r="H20" i="3" s="1"/>
  <c r="F19" i="3"/>
  <c r="S18" i="3"/>
  <c r="R18" i="3"/>
  <c r="Q18" i="3"/>
  <c r="P18" i="3"/>
  <c r="O18" i="3"/>
  <c r="N18" i="3"/>
  <c r="M18" i="3"/>
  <c r="L18" i="3"/>
  <c r="K18" i="3"/>
  <c r="J18" i="3"/>
  <c r="I18" i="3"/>
  <c r="H18" i="3"/>
  <c r="F18" i="3"/>
  <c r="S17" i="3"/>
  <c r="R17" i="3"/>
  <c r="Q17" i="3"/>
  <c r="P17" i="3"/>
  <c r="O17" i="3"/>
  <c r="N17" i="3"/>
  <c r="M17" i="3"/>
  <c r="L17" i="3"/>
  <c r="K17" i="3"/>
  <c r="J17" i="3"/>
  <c r="I17" i="3"/>
  <c r="H17" i="3"/>
  <c r="F17" i="3"/>
  <c r="S16" i="3"/>
  <c r="R16" i="3"/>
  <c r="Q16" i="3"/>
  <c r="P16" i="3"/>
  <c r="O16" i="3"/>
  <c r="N16" i="3"/>
  <c r="M16" i="3"/>
  <c r="L16" i="3"/>
  <c r="K16" i="3"/>
  <c r="J16" i="3"/>
  <c r="I16" i="3"/>
  <c r="H16" i="3"/>
  <c r="F16" i="3"/>
  <c r="S15" i="3"/>
  <c r="R15" i="3"/>
  <c r="Q15" i="3"/>
  <c r="P15" i="3"/>
  <c r="O15" i="3"/>
  <c r="N15" i="3"/>
  <c r="M15" i="3"/>
  <c r="L15" i="3"/>
  <c r="K15" i="3"/>
  <c r="J15" i="3"/>
  <c r="I15" i="3"/>
  <c r="H15" i="3"/>
  <c r="F15" i="3"/>
  <c r="H19" i="1"/>
  <c r="I19" i="1"/>
  <c r="J19" i="1"/>
  <c r="K19" i="1"/>
  <c r="L19" i="1"/>
  <c r="M19" i="1"/>
  <c r="N19" i="1"/>
  <c r="P19" i="1"/>
  <c r="Q19" i="1"/>
  <c r="R19" i="1"/>
  <c r="S19" i="1"/>
  <c r="H18" i="1"/>
  <c r="I18" i="1"/>
  <c r="K18" i="1"/>
  <c r="L18" i="1"/>
  <c r="M18" i="1"/>
  <c r="N18" i="1"/>
  <c r="P18" i="1"/>
  <c r="Q18" i="1"/>
  <c r="R18" i="1"/>
  <c r="S18" i="1"/>
  <c r="F18" i="1"/>
  <c r="F16" i="1"/>
  <c r="H17" i="1"/>
  <c r="I17" i="1"/>
  <c r="J17" i="1"/>
  <c r="K17" i="1"/>
  <c r="L17" i="1"/>
  <c r="M17" i="1"/>
  <c r="N17" i="1"/>
  <c r="P17" i="1"/>
  <c r="Q17" i="1"/>
  <c r="R17" i="1"/>
  <c r="S17" i="1"/>
  <c r="F17" i="1"/>
  <c r="H16" i="1"/>
  <c r="I16" i="1"/>
  <c r="J16" i="1"/>
  <c r="K16" i="1"/>
  <c r="L16" i="1"/>
  <c r="M16" i="1"/>
  <c r="N16" i="1"/>
  <c r="P16" i="1"/>
  <c r="Q16" i="1"/>
  <c r="R16" i="1"/>
  <c r="S16" i="1"/>
  <c r="F19" i="1"/>
  <c r="S15" i="1"/>
  <c r="N15" i="1"/>
  <c r="M15" i="1"/>
  <c r="L15" i="1"/>
  <c r="J15" i="1"/>
  <c r="H15" i="1"/>
  <c r="F15" i="1"/>
  <c r="H20" i="4" l="1"/>
  <c r="Q20" i="4"/>
  <c r="M20" i="7"/>
  <c r="L20" i="9"/>
  <c r="M20" i="8"/>
  <c r="N20" i="8"/>
  <c r="K20" i="8"/>
  <c r="S20" i="8"/>
  <c r="P20" i="8"/>
  <c r="R20" i="5"/>
  <c r="N20" i="5"/>
  <c r="P20" i="4"/>
  <c r="L20" i="4"/>
  <c r="R20" i="4"/>
  <c r="M20" i="3"/>
  <c r="Q20" i="3"/>
  <c r="J20" i="3"/>
  <c r="N20" i="3"/>
  <c r="R20" i="3"/>
  <c r="K20" i="3"/>
  <c r="O20" i="3"/>
  <c r="S20" i="3"/>
  <c r="J20" i="9"/>
  <c r="N20" i="9"/>
  <c r="R20" i="9"/>
  <c r="F20" i="9"/>
  <c r="K20" i="9"/>
  <c r="O20" i="9"/>
  <c r="S20" i="9"/>
  <c r="H20" i="9"/>
  <c r="P20" i="9"/>
  <c r="F20" i="8"/>
  <c r="O20" i="8"/>
  <c r="H20" i="8"/>
  <c r="L20" i="8"/>
  <c r="I20" i="8"/>
  <c r="Q20" i="8"/>
  <c r="J20" i="8"/>
  <c r="R20" i="8"/>
  <c r="F20" i="7"/>
  <c r="H20" i="7"/>
  <c r="L20" i="7"/>
  <c r="P20" i="7"/>
  <c r="I20" i="7"/>
  <c r="Q20" i="7"/>
  <c r="M20" i="5"/>
  <c r="H20" i="5"/>
  <c r="I20" i="4"/>
  <c r="F20" i="4"/>
  <c r="F20" i="3"/>
  <c r="I20" i="3"/>
  <c r="L20" i="3"/>
  <c r="P20" i="3"/>
  <c r="H20" i="1"/>
  <c r="S20" i="1"/>
  <c r="M20" i="1"/>
  <c r="R20" i="1"/>
  <c r="Q20" i="1"/>
  <c r="J20" i="1"/>
  <c r="L20" i="1"/>
  <c r="N20" i="1"/>
  <c r="K20" i="1"/>
  <c r="P20" i="1"/>
  <c r="I20" i="1"/>
  <c r="F20" i="1"/>
  <c r="P15" i="1"/>
  <c r="I15" i="1"/>
  <c r="K15" i="1"/>
  <c r="Q15" i="1"/>
  <c r="R15" i="1"/>
</calcChain>
</file>

<file path=xl/sharedStrings.xml><?xml version="1.0" encoding="utf-8"?>
<sst xmlns="http://schemas.openxmlformats.org/spreadsheetml/2006/main" count="565" uniqueCount="119">
  <si>
    <t>n</t>
  </si>
  <si>
    <t>DS</t>
  </si>
  <si>
    <t>CV</t>
  </si>
  <si>
    <t>Mois</t>
  </si>
  <si>
    <t>Data</t>
  </si>
  <si>
    <t>Heure echantillon /observations</t>
  </si>
  <si>
    <t>Debit entree (m3/jour)</t>
  </si>
  <si>
    <t>Coliformes fécaux (CFU/100ml)</t>
  </si>
  <si>
    <t>pH</t>
  </si>
  <si>
    <t>Redox</t>
  </si>
  <si>
    <t>Temperature (ºC)</t>
  </si>
  <si>
    <t>DBO5 (mg/L)</t>
  </si>
  <si>
    <t>DCO (mg/L)</t>
  </si>
  <si>
    <t>MeS (mg/L)</t>
  </si>
  <si>
    <t>MVS (%)</t>
  </si>
  <si>
    <t>Nitrates (mgNO3-/l)</t>
  </si>
  <si>
    <t xml:space="preserve">Ammonium (mgNH4-/l) </t>
  </si>
  <si>
    <t>Phosphates (mgPO4-/l)</t>
  </si>
  <si>
    <t>Oeufs helmint</t>
  </si>
  <si>
    <t>Huiles et graisses</t>
  </si>
  <si>
    <t>MOYENNE</t>
  </si>
  <si>
    <t>MAX</t>
  </si>
  <si>
    <t>MIN</t>
  </si>
  <si>
    <t>Entrée FV1</t>
  </si>
  <si>
    <t>ENTREE station</t>
  </si>
  <si>
    <t>Charge hydraulique (cm/jour)</t>
  </si>
  <si>
    <t>Sortie  FV1c</t>
  </si>
  <si>
    <t>Sortie  FV1b</t>
  </si>
  <si>
    <t>Sortie  FV2a</t>
  </si>
  <si>
    <t>Sortie  FV2b</t>
  </si>
  <si>
    <t>Sortie  Fha</t>
  </si>
  <si>
    <t>&gt;2000</t>
  </si>
  <si>
    <t>CE (µSm/cm)</t>
  </si>
  <si>
    <t>Azot total (mgN/l)</t>
  </si>
  <si>
    <t>P1</t>
  </si>
  <si>
    <t>9 Ascaris vivant, 3 Ascaris morts, présence de larves NI</t>
  </si>
  <si>
    <t>P2</t>
  </si>
  <si>
    <t>Observation</t>
  </si>
  <si>
    <t>20 h 00</t>
  </si>
  <si>
    <t>19 h 32</t>
  </si>
  <si>
    <t>20 h 25</t>
  </si>
  <si>
    <t>18 h 42</t>
  </si>
  <si>
    <t>19 h 10</t>
  </si>
  <si>
    <t>18 h 45</t>
  </si>
  <si>
    <t>Avril</t>
  </si>
  <si>
    <t>Mai</t>
  </si>
  <si>
    <t xml:space="preserve">Heure echantillon </t>
  </si>
  <si>
    <t>CE (µsm/cm)</t>
  </si>
  <si>
    <t>19 h 50</t>
  </si>
  <si>
    <t>2 ascaris vivants, présence de larves NI</t>
  </si>
  <si>
    <t>19 h 27</t>
  </si>
  <si>
    <t>20 h 16</t>
  </si>
  <si>
    <t>18 h 38</t>
  </si>
  <si>
    <t>EV1c</t>
  </si>
  <si>
    <t>18 h 57</t>
  </si>
  <si>
    <t>EV1a</t>
  </si>
  <si>
    <t>18 h 33</t>
  </si>
  <si>
    <t>EV1b</t>
  </si>
  <si>
    <t>Opération</t>
  </si>
  <si>
    <t>Azote total (mgN/l)</t>
  </si>
  <si>
    <t>Azote toal (mgN/l)</t>
  </si>
  <si>
    <t>filtre alimenté</t>
  </si>
  <si>
    <t>19 h 35</t>
  </si>
  <si>
    <t>1 Ascaris vivant, 1 Ascaris mort, présence de larves NI</t>
  </si>
  <si>
    <t>19 h 14</t>
  </si>
  <si>
    <t>en alimentationn</t>
  </si>
  <si>
    <t>repos</t>
  </si>
  <si>
    <t>18 h 47</t>
  </si>
  <si>
    <t>19 h 45</t>
  </si>
  <si>
    <t>débit lent</t>
  </si>
  <si>
    <t>19 h 24</t>
  </si>
  <si>
    <t>Présence de larves NI</t>
  </si>
  <si>
    <t>18 h 59</t>
  </si>
  <si>
    <t>19 h 55</t>
  </si>
  <si>
    <t>18 h 23</t>
  </si>
  <si>
    <t>en fonctionnemen</t>
  </si>
  <si>
    <t>19 h 30</t>
  </si>
  <si>
    <t>Débit lent</t>
  </si>
  <si>
    <t>19 h 13</t>
  </si>
  <si>
    <t>18 h 50</t>
  </si>
  <si>
    <t>19 h 40</t>
  </si>
  <si>
    <t>18 h 27</t>
  </si>
  <si>
    <t xml:space="preserve">T(°C) prise après alimentation </t>
  </si>
  <si>
    <t>Entrée  FV2a</t>
  </si>
  <si>
    <t>Sortie  FHb</t>
  </si>
  <si>
    <t>19 h 03</t>
  </si>
  <si>
    <t>19 h 22</t>
  </si>
  <si>
    <t>pas de donnée</t>
  </si>
  <si>
    <t>18 h 18</t>
  </si>
  <si>
    <t xml:space="preserve">19 h </t>
  </si>
  <si>
    <t>18 h 49</t>
  </si>
  <si>
    <t>Présebce de larves NI</t>
  </si>
  <si>
    <t>19 h 17</t>
  </si>
  <si>
    <t>18 h 35</t>
  </si>
  <si>
    <t xml:space="preserve">18 h 45 </t>
  </si>
  <si>
    <t>18 h 15</t>
  </si>
  <si>
    <t>18 h 25</t>
  </si>
  <si>
    <t>18 h 00</t>
  </si>
  <si>
    <t>17 h 45</t>
  </si>
  <si>
    <t>campagne 6</t>
  </si>
  <si>
    <t>Pourcentage d'élimination FV1</t>
  </si>
  <si>
    <t>FV1a</t>
  </si>
  <si>
    <t>FV1b</t>
  </si>
  <si>
    <t>FV1c</t>
  </si>
  <si>
    <t>SFV2a</t>
  </si>
  <si>
    <t xml:space="preserve">Pourcentage d'élimination FV2 </t>
  </si>
  <si>
    <t>SFV2b</t>
  </si>
  <si>
    <t>valeurs supérieurs à celles de l'entrée</t>
  </si>
  <si>
    <t>SFHa</t>
  </si>
  <si>
    <t>SFHb</t>
  </si>
  <si>
    <t>Pourcentage d'élimination des FH: performance de la station</t>
  </si>
  <si>
    <t>Juin</t>
  </si>
  <si>
    <t>18 h 16</t>
  </si>
  <si>
    <t>18 h 12</t>
  </si>
  <si>
    <t>18 h 08</t>
  </si>
  <si>
    <t>18 h 01</t>
  </si>
  <si>
    <t>17 h 56</t>
  </si>
  <si>
    <t>17 h 30</t>
  </si>
  <si>
    <t>17 h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</si>
</sst>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E+00"/>
  </numFmts>
  <fonts count="14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i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5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59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 wrapText="1"/>
    </xf>
    <xf numFmtId="17" fontId="4" fillId="3" borderId="1" xfId="0" applyNumberFormat="1" applyFont="1" applyFill="1" applyBorder="1" applyAlignment="1">
      <alignment horizont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164" fontId="6" fillId="7" borderId="1" xfId="0" applyNumberFormat="1" applyFont="1" applyFill="1" applyBorder="1" applyAlignment="1">
      <alignment horizontal="center" wrapText="1"/>
    </xf>
    <xf numFmtId="164" fontId="6" fillId="5" borderId="1" xfId="0" applyNumberFormat="1" applyFont="1" applyFill="1" applyBorder="1" applyAlignment="1">
      <alignment horizontal="center" wrapText="1"/>
    </xf>
    <xf numFmtId="17" fontId="5" fillId="6" borderId="1" xfId="0" applyNumberFormat="1" applyFont="1" applyFill="1" applyBorder="1" applyAlignment="1">
      <alignment horizontal="center" wrapText="1"/>
    </xf>
    <xf numFmtId="1" fontId="5" fillId="6" borderId="1" xfId="0" applyNumberFormat="1" applyFont="1" applyFill="1" applyBorder="1" applyAlignment="1">
      <alignment horizontal="center" wrapText="1"/>
    </xf>
    <xf numFmtId="2" fontId="5" fillId="6" borderId="1" xfId="0" applyNumberFormat="1" applyFont="1" applyFill="1" applyBorder="1" applyAlignment="1">
      <alignment horizontal="center" wrapText="1"/>
    </xf>
    <xf numFmtId="0" fontId="7" fillId="8" borderId="0" xfId="0" applyFont="1" applyFill="1" applyAlignment="1"/>
    <xf numFmtId="0" fontId="8" fillId="8" borderId="0" xfId="0" applyFont="1" applyFill="1" applyAlignment="1"/>
    <xf numFmtId="0" fontId="0" fillId="8" borderId="0" xfId="0" applyFont="1" applyFill="1"/>
    <xf numFmtId="0" fontId="0" fillId="9" borderId="0" xfId="0" applyFill="1"/>
    <xf numFmtId="0" fontId="4" fillId="9" borderId="1" xfId="0" applyFont="1" applyFill="1" applyBorder="1" applyAlignment="1">
      <alignment horizontal="center" wrapText="1"/>
    </xf>
    <xf numFmtId="0" fontId="4" fillId="9" borderId="1" xfId="0" applyNumberFormat="1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 vertic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17" fontId="4" fillId="9" borderId="1" xfId="0" applyNumberFormat="1" applyFont="1" applyFill="1" applyBorder="1" applyAlignment="1">
      <alignment horizont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/>
    </xf>
    <xf numFmtId="164" fontId="4" fillId="9" borderId="1" xfId="0" applyNumberFormat="1" applyFont="1" applyFill="1" applyBorder="1" applyAlignment="1">
      <alignment horizontal="center" vertical="center" wrapText="1"/>
    </xf>
    <xf numFmtId="17" fontId="4" fillId="9" borderId="1" xfId="0" applyNumberFormat="1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center" wrapText="1"/>
    </xf>
    <xf numFmtId="0" fontId="0" fillId="0" borderId="0" xfId="0" applyFont="1" applyFill="1"/>
    <xf numFmtId="0" fontId="2" fillId="0" borderId="0" xfId="0" applyFont="1" applyFill="1"/>
    <xf numFmtId="0" fontId="1" fillId="0" borderId="0" xfId="0" applyFont="1" applyFill="1"/>
    <xf numFmtId="0" fontId="9" fillId="8" borderId="0" xfId="0" applyFont="1" applyFill="1" applyAlignment="1"/>
    <xf numFmtId="0" fontId="4" fillId="0" borderId="0" xfId="0" applyFont="1"/>
    <xf numFmtId="1" fontId="4" fillId="9" borderId="1" xfId="0" applyNumberFormat="1" applyFont="1" applyFill="1" applyBorder="1" applyAlignment="1">
      <alignment horizontal="center" wrapText="1"/>
    </xf>
    <xf numFmtId="1" fontId="4" fillId="3" borderId="1" xfId="0" applyNumberFormat="1" applyFont="1" applyFill="1" applyBorder="1" applyAlignment="1">
      <alignment horizontal="center" wrapText="1"/>
    </xf>
    <xf numFmtId="164" fontId="10" fillId="7" borderId="1" xfId="0" applyNumberFormat="1" applyFont="1" applyFill="1" applyBorder="1" applyAlignment="1">
      <alignment horizontal="center" wrapText="1"/>
    </xf>
    <xf numFmtId="164" fontId="10" fillId="5" borderId="1" xfId="0" applyNumberFormat="1" applyFont="1" applyFill="1" applyBorder="1" applyAlignment="1">
      <alignment horizontal="center" wrapText="1"/>
    </xf>
    <xf numFmtId="0" fontId="4" fillId="0" borderId="0" xfId="0" applyFont="1" applyFill="1"/>
    <xf numFmtId="0" fontId="11" fillId="0" borderId="0" xfId="0" applyFont="1" applyFill="1"/>
    <xf numFmtId="0" fontId="11" fillId="0" borderId="0" xfId="0" applyFont="1"/>
    <xf numFmtId="0" fontId="5" fillId="4" borderId="1" xfId="0" applyFont="1" applyFill="1" applyBorder="1" applyAlignment="1">
      <alignment horizontal="center" wrapText="1"/>
    </xf>
    <xf numFmtId="164" fontId="6" fillId="7" borderId="1" xfId="0" applyNumberFormat="1" applyFont="1" applyFill="1" applyBorder="1" applyAlignment="1">
      <alignment horizontal="center" wrapText="1"/>
    </xf>
    <xf numFmtId="17" fontId="5" fillId="6" borderId="1" xfId="0" applyNumberFormat="1" applyFont="1" applyFill="1" applyBorder="1" applyAlignment="1">
      <alignment horizontal="center" wrapText="1"/>
    </xf>
    <xf numFmtId="164" fontId="6" fillId="5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vertical="center"/>
    </xf>
    <xf numFmtId="165" fontId="10" fillId="7" borderId="1" xfId="0" applyNumberFormat="1" applyFont="1" applyFill="1" applyBorder="1" applyAlignment="1">
      <alignment horizontal="center" wrapText="1"/>
    </xf>
    <xf numFmtId="165" fontId="10" fillId="5" borderId="1" xfId="0" applyNumberFormat="1" applyFont="1" applyFill="1" applyBorder="1" applyAlignment="1">
      <alignment horizontal="center" wrapText="1"/>
    </xf>
    <xf numFmtId="165" fontId="5" fillId="6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4" fillId="9" borderId="6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center" vertical="center" wrapText="1"/>
    </xf>
    <xf numFmtId="0" fontId="7" fillId="8" borderId="7" xfId="0" applyFont="1" applyFill="1" applyBorder="1" applyAlignment="1"/>
    <xf numFmtId="0" fontId="7" fillId="8" borderId="5" xfId="0" applyFont="1" applyFill="1" applyBorder="1" applyAlignment="1"/>
    <xf numFmtId="0" fontId="7" fillId="8" borderId="8" xfId="0" applyFont="1" applyFill="1" applyBorder="1" applyAlignment="1"/>
    <xf numFmtId="0" fontId="7" fillId="8" borderId="9" xfId="0" applyFont="1" applyFill="1" applyBorder="1" applyAlignment="1"/>
    <xf numFmtId="11" fontId="0" fillId="0" borderId="1" xfId="0" applyNumberForma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1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 wrapText="1"/>
    </xf>
    <xf numFmtId="2" fontId="4" fillId="9" borderId="1" xfId="0" applyNumberFormat="1" applyFont="1" applyFill="1" applyBorder="1" applyAlignment="1">
      <alignment horizontal="center" vertical="center" wrapText="1"/>
    </xf>
    <xf numFmtId="2" fontId="4" fillId="9" borderId="1" xfId="0" applyNumberFormat="1" applyFont="1" applyFill="1" applyBorder="1" applyAlignment="1">
      <alignment horizontal="center" wrapText="1"/>
    </xf>
    <xf numFmtId="2" fontId="2" fillId="9" borderId="1" xfId="0" applyNumberFormat="1" applyFont="1" applyFill="1" applyBorder="1" applyAlignment="1">
      <alignment horizontal="center" wrapText="1"/>
    </xf>
    <xf numFmtId="2" fontId="4" fillId="9" borderId="1" xfId="0" applyNumberFormat="1" applyFont="1" applyFill="1" applyBorder="1" applyAlignment="1">
      <alignment horizontal="center"/>
    </xf>
    <xf numFmtId="2" fontId="0" fillId="0" borderId="0" xfId="0" applyNumberFormat="1" applyFill="1"/>
    <xf numFmtId="11" fontId="4" fillId="9" borderId="1" xfId="0" applyNumberFormat="1" applyFont="1" applyFill="1" applyBorder="1" applyAlignment="1">
      <alignment horizontal="center" wrapText="1"/>
    </xf>
    <xf numFmtId="2" fontId="0" fillId="0" borderId="0" xfId="0" applyNumberFormat="1"/>
    <xf numFmtId="0" fontId="13" fillId="0" borderId="0" xfId="0" applyFont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2" fontId="12" fillId="10" borderId="0" xfId="0" applyNumberFormat="1" applyFont="1" applyFill="1"/>
    <xf numFmtId="14" fontId="0" fillId="0" borderId="0" xfId="0" applyNumberFormat="1"/>
    <xf numFmtId="0" fontId="0" fillId="0" borderId="0" xfId="0" applyAlignment="1">
      <alignment horizontal="center" vertical="center"/>
    </xf>
    <xf numFmtId="2" fontId="0" fillId="11" borderId="0" xfId="0" applyNumberFormat="1" applyFill="1"/>
    <xf numFmtId="2" fontId="12" fillId="0" borderId="0" xfId="0" applyNumberFormat="1" applyFont="1"/>
    <xf numFmtId="0" fontId="13" fillId="0" borderId="0" xfId="0" applyFont="1" applyAlignment="1">
      <alignment horizontal="center" vertical="center"/>
    </xf>
    <xf numFmtId="0" fontId="0" fillId="0" borderId="0" xfId="0" applyFont="1" applyAlignment="1">
      <alignment horizontal="left" wrapText="1"/>
    </xf>
    <xf numFmtId="164" fontId="6" fillId="5" borderId="1" xfId="0" applyNumberFormat="1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164" fontId="6" fillId="7" borderId="1" xfId="0" applyNumberFormat="1" applyFont="1" applyFill="1" applyBorder="1" applyAlignment="1">
      <alignment horizontal="center" wrapText="1"/>
    </xf>
    <xf numFmtId="17" fontId="5" fillId="6" borderId="1" xfId="0" applyNumberFormat="1" applyFont="1" applyFill="1" applyBorder="1" applyAlignment="1">
      <alignment horizontal="center" wrapText="1"/>
    </xf>
    <xf numFmtId="17" fontId="5" fillId="6" borderId="2" xfId="0" applyNumberFormat="1" applyFont="1" applyFill="1" applyBorder="1" applyAlignment="1">
      <alignment horizontal="center" wrapText="1"/>
    </xf>
    <xf numFmtId="17" fontId="5" fillId="6" borderId="3" xfId="0" applyNumberFormat="1" applyFont="1" applyFill="1" applyBorder="1" applyAlignment="1">
      <alignment horizontal="center" wrapText="1"/>
    </xf>
    <xf numFmtId="17" fontId="5" fillId="6" borderId="4" xfId="0" applyNumberFormat="1" applyFont="1" applyFill="1" applyBorder="1" applyAlignment="1">
      <alignment horizontal="center" wrapText="1"/>
    </xf>
    <xf numFmtId="0" fontId="0" fillId="0" borderId="5" xfId="0" applyFont="1" applyBorder="1" applyAlignment="1">
      <alignment horizontal="left" wrapText="1"/>
    </xf>
    <xf numFmtId="0" fontId="3" fillId="9" borderId="2" xfId="0" applyFont="1" applyFill="1" applyBorder="1" applyAlignment="1">
      <alignment horizontal="center" wrapText="1"/>
    </xf>
    <xf numFmtId="0" fontId="3" fillId="9" borderId="3" xfId="0" applyFont="1" applyFill="1" applyBorder="1" applyAlignment="1">
      <alignment horizontal="center" wrapText="1"/>
    </xf>
    <xf numFmtId="0" fontId="3" fillId="9" borderId="4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164" fontId="6" fillId="7" borderId="2" xfId="0" applyNumberFormat="1" applyFont="1" applyFill="1" applyBorder="1" applyAlignment="1">
      <alignment horizontal="center" wrapText="1"/>
    </xf>
    <xf numFmtId="164" fontId="6" fillId="7" borderId="3" xfId="0" applyNumberFormat="1" applyFont="1" applyFill="1" applyBorder="1" applyAlignment="1">
      <alignment horizontal="center" wrapText="1"/>
    </xf>
    <xf numFmtId="164" fontId="6" fillId="7" borderId="4" xfId="0" applyNumberFormat="1" applyFont="1" applyFill="1" applyBorder="1" applyAlignment="1">
      <alignment horizontal="center" wrapText="1"/>
    </xf>
    <xf numFmtId="164" fontId="6" fillId="5" borderId="2" xfId="0" applyNumberFormat="1" applyFont="1" applyFill="1" applyBorder="1" applyAlignment="1">
      <alignment horizontal="center" wrapText="1"/>
    </xf>
    <xf numFmtId="164" fontId="6" fillId="5" borderId="3" xfId="0" applyNumberFormat="1" applyFont="1" applyFill="1" applyBorder="1" applyAlignment="1">
      <alignment horizontal="center" wrapText="1"/>
    </xf>
    <xf numFmtId="164" fontId="6" fillId="5" borderId="4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10" borderId="10" xfId="0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 vertical="center" wrapText="1"/>
    </xf>
    <xf numFmtId="2" fontId="0" fillId="10" borderId="0" xfId="0" applyNumberFormat="1" applyFill="1"/>
    <xf numFmtId="1" fontId="2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3"/>
  <sheetViews>
    <sheetView topLeftCell="A7" workbookViewId="0">
      <selection activeCell="A12" sqref="A12"/>
    </sheetView>
  </sheetViews>
  <sheetFormatPr baseColWidth="10" defaultRowHeight="14.4" x14ac:dyDescent="0.3"/>
  <cols>
    <col min="1" max="1" width="11" customWidth="1"/>
    <col min="3" max="3" width="16.44140625" customWidth="1"/>
    <col min="4" max="4" width="9.44140625" customWidth="1"/>
    <col min="5" max="5" width="8.21875" customWidth="1"/>
    <col min="6" max="8" width="7.88671875" customWidth="1"/>
    <col min="9" max="9" width="7.21875" style="1" customWidth="1"/>
    <col min="10" max="10" width="8.88671875" customWidth="1"/>
    <col min="11" max="11" width="5.88671875" style="2" customWidth="1"/>
    <col min="12" max="12" width="6.21875" customWidth="1"/>
    <col min="13" max="13" width="7.88671875" customWidth="1"/>
    <col min="14" max="15" width="8.33203125" customWidth="1"/>
    <col min="16" max="16" width="7.44140625" style="1" customWidth="1"/>
    <col min="17" max="17" width="11.77734375" style="47" customWidth="1"/>
    <col min="18" max="19" width="7.5546875" customWidth="1"/>
    <col min="20" max="28" width="10.88671875" style="3"/>
  </cols>
  <sheetData>
    <row r="1" spans="1:28" s="23" customFormat="1" x14ac:dyDescent="0.3">
      <c r="A1" s="66" t="s">
        <v>24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36"/>
      <c r="U1" s="36"/>
      <c r="V1" s="36"/>
      <c r="W1" s="36"/>
      <c r="X1" s="36"/>
      <c r="Y1" s="36"/>
      <c r="Z1" s="36"/>
      <c r="AA1" s="36"/>
      <c r="AB1" s="36"/>
    </row>
    <row r="2" spans="1:28" x14ac:dyDescent="0.3">
      <c r="A2" s="68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</row>
    <row r="3" spans="1:28" s="24" customFormat="1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3"/>
      <c r="U3" s="3"/>
      <c r="V3" s="3"/>
      <c r="W3" s="3"/>
      <c r="X3" s="3"/>
      <c r="Y3" s="3"/>
      <c r="Z3" s="3"/>
      <c r="AA3" s="3"/>
      <c r="AB3" s="3"/>
    </row>
    <row r="4" spans="1:28" s="24" customFormat="1" ht="52.95" customHeight="1" x14ac:dyDescent="0.3">
      <c r="A4" s="27" t="s">
        <v>3</v>
      </c>
      <c r="B4" s="65" t="s">
        <v>4</v>
      </c>
      <c r="C4" s="27" t="s">
        <v>46</v>
      </c>
      <c r="D4" s="27" t="s">
        <v>6</v>
      </c>
      <c r="E4" s="27" t="s">
        <v>10</v>
      </c>
      <c r="F4" s="27" t="s">
        <v>8</v>
      </c>
      <c r="G4" s="27" t="s">
        <v>32</v>
      </c>
      <c r="H4" s="27" t="s">
        <v>9</v>
      </c>
      <c r="I4" s="28" t="s">
        <v>11</v>
      </c>
      <c r="J4" s="28" t="s">
        <v>12</v>
      </c>
      <c r="K4" s="28" t="s">
        <v>13</v>
      </c>
      <c r="L4" s="28" t="s">
        <v>14</v>
      </c>
      <c r="M4" s="28" t="s">
        <v>15</v>
      </c>
      <c r="N4" s="28" t="s">
        <v>16</v>
      </c>
      <c r="O4" s="28" t="s">
        <v>33</v>
      </c>
      <c r="P4" s="28" t="s">
        <v>17</v>
      </c>
      <c r="Q4" s="27" t="s">
        <v>7</v>
      </c>
      <c r="R4" s="27" t="s">
        <v>18</v>
      </c>
      <c r="S4" s="27" t="s">
        <v>19</v>
      </c>
      <c r="T4" s="62" t="s">
        <v>58</v>
      </c>
      <c r="U4" s="62" t="s">
        <v>37</v>
      </c>
      <c r="V4" s="3"/>
      <c r="W4" s="3"/>
      <c r="X4" s="3"/>
      <c r="Y4" s="3"/>
      <c r="Z4" s="3"/>
      <c r="AA4" s="3"/>
      <c r="AB4" s="3"/>
    </row>
    <row r="5" spans="1:28" s="24" customFormat="1" x14ac:dyDescent="0.3">
      <c r="A5" s="29" t="s">
        <v>44</v>
      </c>
      <c r="B5" s="63">
        <v>43564</v>
      </c>
      <c r="C5" s="52"/>
      <c r="D5" s="25"/>
      <c r="E5" s="52">
        <v>26.7</v>
      </c>
      <c r="F5" s="52">
        <v>7.56</v>
      </c>
      <c r="G5" s="52">
        <v>1270</v>
      </c>
      <c r="H5" s="52"/>
      <c r="I5" s="52">
        <v>575</v>
      </c>
      <c r="J5" s="52">
        <v>810</v>
      </c>
      <c r="K5" s="52">
        <v>222</v>
      </c>
      <c r="L5" s="52"/>
      <c r="M5" s="52">
        <v>20.329999999999998</v>
      </c>
      <c r="N5" s="52">
        <v>20.8</v>
      </c>
      <c r="O5" s="52">
        <v>100</v>
      </c>
      <c r="P5" s="52">
        <v>43</v>
      </c>
      <c r="Q5" s="56">
        <v>30000000</v>
      </c>
      <c r="R5" s="52"/>
      <c r="S5" s="52"/>
      <c r="T5" s="52" t="s">
        <v>34</v>
      </c>
      <c r="U5" s="52"/>
      <c r="V5" s="3"/>
      <c r="W5" s="3"/>
      <c r="X5" s="3"/>
      <c r="Y5" s="3"/>
      <c r="Z5" s="3"/>
      <c r="AA5" s="3"/>
      <c r="AB5" s="3"/>
    </row>
    <row r="6" spans="1:28" s="24" customFormat="1" ht="144" x14ac:dyDescent="0.3">
      <c r="A6" s="34" t="s">
        <v>44</v>
      </c>
      <c r="B6" s="64">
        <v>43571</v>
      </c>
      <c r="C6" s="53" t="s">
        <v>38</v>
      </c>
      <c r="D6" s="25"/>
      <c r="E6" s="53">
        <v>23.6</v>
      </c>
      <c r="F6" s="53">
        <v>7.93</v>
      </c>
      <c r="G6" s="53">
        <v>1324</v>
      </c>
      <c r="H6" s="53">
        <v>-226</v>
      </c>
      <c r="I6" s="53">
        <v>738</v>
      </c>
      <c r="J6" s="53">
        <v>1420</v>
      </c>
      <c r="K6" s="53">
        <v>272</v>
      </c>
      <c r="L6" s="53">
        <v>68</v>
      </c>
      <c r="M6" s="53">
        <v>20.329999999999998</v>
      </c>
      <c r="N6" s="53">
        <v>21.6</v>
      </c>
      <c r="O6" s="53">
        <v>300</v>
      </c>
      <c r="P6" s="53">
        <v>42</v>
      </c>
      <c r="Q6" s="57">
        <v>40000000</v>
      </c>
      <c r="R6" s="61" t="s">
        <v>35</v>
      </c>
      <c r="S6" s="53">
        <v>426</v>
      </c>
      <c r="T6" s="53" t="s">
        <v>34</v>
      </c>
      <c r="U6" s="53"/>
      <c r="V6" s="3"/>
      <c r="W6" s="3"/>
      <c r="X6" s="3"/>
      <c r="Y6" s="3"/>
      <c r="Z6" s="3"/>
      <c r="AA6" s="3"/>
      <c r="AB6" s="3"/>
    </row>
    <row r="7" spans="1:28" s="24" customFormat="1" x14ac:dyDescent="0.3">
      <c r="A7" s="34" t="s">
        <v>44</v>
      </c>
      <c r="B7" s="63">
        <v>43578</v>
      </c>
      <c r="C7" s="52" t="s">
        <v>39</v>
      </c>
      <c r="D7" s="25"/>
      <c r="E7" s="52">
        <v>25.6</v>
      </c>
      <c r="F7" s="52">
        <v>7.46</v>
      </c>
      <c r="G7" s="52">
        <v>1722</v>
      </c>
      <c r="H7" s="52">
        <v>-215</v>
      </c>
      <c r="I7" s="54" t="s">
        <v>31</v>
      </c>
      <c r="J7" s="52">
        <v>2500</v>
      </c>
      <c r="K7" s="52">
        <v>778</v>
      </c>
      <c r="L7" s="52"/>
      <c r="M7" s="52">
        <v>47.44</v>
      </c>
      <c r="N7" s="52">
        <v>23.3</v>
      </c>
      <c r="O7" s="52">
        <v>1200</v>
      </c>
      <c r="P7" s="52">
        <v>42</v>
      </c>
      <c r="Q7" s="56">
        <v>123000000</v>
      </c>
      <c r="R7" s="52"/>
      <c r="S7" s="52"/>
      <c r="T7" s="52" t="s">
        <v>34</v>
      </c>
      <c r="U7" s="52"/>
      <c r="V7" s="3"/>
      <c r="W7" s="3"/>
      <c r="X7" s="3"/>
      <c r="Y7" s="3"/>
      <c r="Z7" s="3"/>
      <c r="AA7" s="3"/>
      <c r="AB7" s="3"/>
    </row>
    <row r="8" spans="1:28" s="24" customFormat="1" x14ac:dyDescent="0.3">
      <c r="A8" s="29" t="s">
        <v>45</v>
      </c>
      <c r="B8" s="63">
        <v>43586</v>
      </c>
      <c r="C8" s="52" t="s">
        <v>40</v>
      </c>
      <c r="D8" s="25"/>
      <c r="E8" s="52">
        <v>25.5</v>
      </c>
      <c r="F8" s="52">
        <v>7.97</v>
      </c>
      <c r="G8" s="55">
        <v>1370</v>
      </c>
      <c r="H8" s="55">
        <v>-250</v>
      </c>
      <c r="I8" s="52">
        <v>706</v>
      </c>
      <c r="J8" s="52">
        <v>1330</v>
      </c>
      <c r="K8" s="52">
        <v>328</v>
      </c>
      <c r="L8" s="52"/>
      <c r="M8" s="52">
        <v>15.81</v>
      </c>
      <c r="N8" s="52">
        <v>20</v>
      </c>
      <c r="O8" s="52">
        <v>130</v>
      </c>
      <c r="P8" s="52">
        <v>25.8</v>
      </c>
      <c r="Q8" s="56">
        <v>23300000</v>
      </c>
      <c r="R8" s="52"/>
      <c r="S8" s="52"/>
      <c r="T8" s="52" t="s">
        <v>34</v>
      </c>
      <c r="U8" s="52"/>
      <c r="V8" s="3"/>
      <c r="W8" s="3"/>
      <c r="X8" s="3"/>
      <c r="Y8" s="3"/>
      <c r="Z8" s="3"/>
      <c r="AA8" s="3"/>
      <c r="AB8" s="3"/>
    </row>
    <row r="9" spans="1:28" s="24" customFormat="1" x14ac:dyDescent="0.3">
      <c r="A9" s="34" t="s">
        <v>45</v>
      </c>
      <c r="B9" s="63">
        <v>43598</v>
      </c>
      <c r="C9" s="52" t="s">
        <v>41</v>
      </c>
      <c r="D9" s="25"/>
      <c r="E9" s="52">
        <v>27.4</v>
      </c>
      <c r="F9" s="52">
        <v>7.84</v>
      </c>
      <c r="G9" s="52">
        <v>1282</v>
      </c>
      <c r="H9" s="52">
        <v>-224</v>
      </c>
      <c r="I9" s="31"/>
      <c r="J9" s="25"/>
      <c r="K9" s="31"/>
      <c r="L9" s="25"/>
      <c r="M9" s="25"/>
      <c r="N9" s="25"/>
      <c r="O9" s="25"/>
      <c r="P9" s="31"/>
      <c r="Q9" s="41"/>
      <c r="R9" s="52"/>
      <c r="S9" s="52"/>
      <c r="T9" s="52" t="s">
        <v>36</v>
      </c>
      <c r="U9" s="52"/>
      <c r="V9" s="3"/>
      <c r="W9" s="3"/>
      <c r="X9" s="3"/>
      <c r="Y9" s="3"/>
      <c r="Z9" s="3"/>
      <c r="AA9" s="3"/>
      <c r="AB9" s="3"/>
    </row>
    <row r="10" spans="1:28" s="24" customFormat="1" x14ac:dyDescent="0.3">
      <c r="A10" s="34" t="s">
        <v>45</v>
      </c>
      <c r="B10" s="63">
        <v>43608</v>
      </c>
      <c r="C10" s="52" t="s">
        <v>42</v>
      </c>
      <c r="D10" s="25"/>
      <c r="E10" s="52">
        <v>26.4</v>
      </c>
      <c r="F10" s="52">
        <v>7.33</v>
      </c>
      <c r="G10" s="52">
        <v>1214</v>
      </c>
      <c r="H10" s="52">
        <v>-213</v>
      </c>
      <c r="I10" s="31"/>
      <c r="J10" s="25"/>
      <c r="K10" s="31"/>
      <c r="L10" s="25"/>
      <c r="M10" s="25"/>
      <c r="N10" s="25"/>
      <c r="O10" s="25"/>
      <c r="P10" s="31"/>
      <c r="Q10" s="41"/>
      <c r="R10" s="52"/>
      <c r="S10" s="52"/>
      <c r="T10" s="52" t="s">
        <v>36</v>
      </c>
      <c r="U10" s="52"/>
      <c r="V10" s="3"/>
      <c r="W10" s="3"/>
      <c r="X10" s="3"/>
      <c r="Y10" s="3"/>
      <c r="Z10" s="3"/>
      <c r="AA10" s="3"/>
      <c r="AB10" s="3"/>
    </row>
    <row r="11" spans="1:28" s="24" customFormat="1" x14ac:dyDescent="0.3">
      <c r="A11" s="29" t="s">
        <v>45</v>
      </c>
      <c r="B11" s="63">
        <v>43612</v>
      </c>
      <c r="C11" s="52" t="s">
        <v>43</v>
      </c>
      <c r="D11" s="25"/>
      <c r="E11" s="52">
        <v>26.7</v>
      </c>
      <c r="F11" s="52">
        <v>8.02</v>
      </c>
      <c r="G11" s="52">
        <v>1163</v>
      </c>
      <c r="H11" s="52">
        <v>-201</v>
      </c>
      <c r="I11" s="31"/>
      <c r="J11" s="25"/>
      <c r="K11" s="31"/>
      <c r="L11" s="25"/>
      <c r="M11" s="25"/>
      <c r="N11" s="25"/>
      <c r="O11" s="25"/>
      <c r="P11" s="31"/>
      <c r="Q11" s="41"/>
      <c r="R11" s="32"/>
      <c r="S11" s="35"/>
      <c r="T11" s="3"/>
      <c r="U11" s="3"/>
      <c r="V11" s="3"/>
      <c r="W11" s="3"/>
      <c r="X11" s="3"/>
      <c r="Y11" s="3"/>
      <c r="Z11" s="3"/>
      <c r="AA11" s="3"/>
      <c r="AB11" s="3"/>
    </row>
    <row r="12" spans="1:28" s="24" customFormat="1" x14ac:dyDescent="0.3">
      <c r="A12" s="29" t="s">
        <v>111</v>
      </c>
      <c r="B12" s="30">
        <v>43633</v>
      </c>
      <c r="C12" s="25" t="s">
        <v>41</v>
      </c>
      <c r="D12" s="25"/>
      <c r="E12" s="25">
        <v>28.7</v>
      </c>
      <c r="F12" s="25">
        <v>7.75</v>
      </c>
      <c r="G12" s="25">
        <v>1310</v>
      </c>
      <c r="H12" s="25">
        <v>-213</v>
      </c>
      <c r="I12" s="31"/>
      <c r="J12" s="25"/>
      <c r="K12" s="31"/>
      <c r="L12" s="25"/>
      <c r="M12" s="25"/>
      <c r="N12" s="25"/>
      <c r="O12" s="25"/>
      <c r="P12" s="31"/>
      <c r="Q12" s="41"/>
      <c r="R12" s="32"/>
      <c r="S12" s="35"/>
      <c r="T12" s="3"/>
      <c r="U12" s="3"/>
      <c r="V12" s="3"/>
      <c r="W12" s="3"/>
      <c r="X12" s="3"/>
      <c r="Y12" s="3"/>
      <c r="Z12" s="3"/>
      <c r="AA12" s="3"/>
      <c r="AB12" s="3"/>
    </row>
    <row r="13" spans="1:28" s="24" customFormat="1" x14ac:dyDescent="0.3">
      <c r="A13" s="29"/>
      <c r="B13" s="30"/>
      <c r="C13" s="25"/>
      <c r="D13" s="25"/>
      <c r="E13" s="25"/>
      <c r="F13" s="25"/>
      <c r="G13" s="25"/>
      <c r="H13" s="25"/>
      <c r="I13" s="31"/>
      <c r="J13" s="25"/>
      <c r="K13" s="31"/>
      <c r="L13" s="25"/>
      <c r="M13" s="25"/>
      <c r="N13" s="25"/>
      <c r="O13" s="25"/>
      <c r="P13" s="31"/>
      <c r="Q13" s="41"/>
      <c r="R13" s="35"/>
      <c r="S13" s="35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10"/>
      <c r="B14" s="11"/>
      <c r="C14" s="9"/>
      <c r="D14" s="9"/>
      <c r="E14" s="9"/>
      <c r="F14" s="9"/>
      <c r="G14" s="9"/>
      <c r="H14" s="9"/>
      <c r="I14" s="12"/>
      <c r="J14" s="9"/>
      <c r="K14" s="12"/>
      <c r="L14" s="9"/>
      <c r="M14" s="9"/>
      <c r="N14" s="9"/>
      <c r="O14" s="9"/>
      <c r="P14" s="12"/>
      <c r="Q14" s="42"/>
      <c r="R14" s="13"/>
      <c r="S14" s="14"/>
    </row>
    <row r="15" spans="1:28" x14ac:dyDescent="0.3">
      <c r="A15" s="94" t="s">
        <v>0</v>
      </c>
      <c r="B15" s="94"/>
      <c r="C15" s="94"/>
      <c r="D15" s="15"/>
      <c r="E15" s="15"/>
      <c r="F15" s="15">
        <f t="shared" ref="F15:S15" si="0">COUNT(F5:F14)</f>
        <v>8</v>
      </c>
      <c r="G15" s="15">
        <f>COUNT(G5:G12)</f>
        <v>8</v>
      </c>
      <c r="H15" s="15">
        <f t="shared" si="0"/>
        <v>7</v>
      </c>
      <c r="I15" s="15">
        <f t="shared" si="0"/>
        <v>3</v>
      </c>
      <c r="J15" s="15">
        <f t="shared" si="0"/>
        <v>4</v>
      </c>
      <c r="K15" s="15">
        <f t="shared" si="0"/>
        <v>4</v>
      </c>
      <c r="L15" s="15">
        <f t="shared" si="0"/>
        <v>1</v>
      </c>
      <c r="M15" s="15">
        <f t="shared" si="0"/>
        <v>4</v>
      </c>
      <c r="N15" s="15">
        <f t="shared" si="0"/>
        <v>4</v>
      </c>
      <c r="O15" s="15">
        <f t="shared" ref="O15" si="1">COUNT(O5:O14)</f>
        <v>4</v>
      </c>
      <c r="P15" s="15">
        <f t="shared" si="0"/>
        <v>4</v>
      </c>
      <c r="Q15" s="15">
        <f t="shared" si="0"/>
        <v>4</v>
      </c>
      <c r="R15" s="15">
        <f t="shared" si="0"/>
        <v>0</v>
      </c>
      <c r="S15" s="15">
        <f t="shared" si="0"/>
        <v>1</v>
      </c>
    </row>
    <row r="16" spans="1:28" s="6" customFormat="1" x14ac:dyDescent="0.3">
      <c r="A16" s="95" t="s">
        <v>20</v>
      </c>
      <c r="B16" s="95"/>
      <c r="C16" s="95"/>
      <c r="D16" s="16"/>
      <c r="E16" s="16"/>
      <c r="F16" s="16">
        <f>AVERAGE(F5:F14)</f>
        <v>7.7324999999999999</v>
      </c>
      <c r="G16" s="16">
        <f>AVERAGE(G5:G12)</f>
        <v>1331.875</v>
      </c>
      <c r="H16" s="16">
        <f t="shared" ref="H16:S16" si="2">AVERAGE(H5:H14)</f>
        <v>-220.28571428571428</v>
      </c>
      <c r="I16" s="16">
        <f t="shared" si="2"/>
        <v>673</v>
      </c>
      <c r="J16" s="16">
        <f t="shared" si="2"/>
        <v>1515</v>
      </c>
      <c r="K16" s="16">
        <f t="shared" si="2"/>
        <v>400</v>
      </c>
      <c r="L16" s="16">
        <f t="shared" si="2"/>
        <v>68</v>
      </c>
      <c r="M16" s="16">
        <f t="shared" si="2"/>
        <v>25.977499999999999</v>
      </c>
      <c r="N16" s="16">
        <f t="shared" si="2"/>
        <v>21.425000000000001</v>
      </c>
      <c r="O16" s="16">
        <f t="shared" ref="O16" si="3">AVERAGE(O5:O14)</f>
        <v>432.5</v>
      </c>
      <c r="P16" s="16">
        <f t="shared" si="2"/>
        <v>38.200000000000003</v>
      </c>
      <c r="Q16" s="58">
        <f t="shared" si="2"/>
        <v>54075000</v>
      </c>
      <c r="R16" s="16" t="e">
        <f t="shared" si="2"/>
        <v>#DIV/0!</v>
      </c>
      <c r="S16" s="16">
        <f t="shared" si="2"/>
        <v>426</v>
      </c>
      <c r="T16" s="3"/>
      <c r="U16" s="3"/>
      <c r="V16" s="3"/>
      <c r="W16" s="3"/>
      <c r="X16" s="3"/>
      <c r="Y16" s="3"/>
      <c r="Z16" s="3"/>
      <c r="AA16" s="3"/>
      <c r="AB16" s="3"/>
    </row>
    <row r="17" spans="1:28" s="4" customFormat="1" x14ac:dyDescent="0.3">
      <c r="A17" s="92" t="s">
        <v>21</v>
      </c>
      <c r="B17" s="92"/>
      <c r="C17" s="92"/>
      <c r="D17" s="17"/>
      <c r="E17" s="17"/>
      <c r="F17" s="17">
        <f>MAX(F5:F14)</f>
        <v>8.02</v>
      </c>
      <c r="G17" s="17">
        <f>MAX(G5:G12)</f>
        <v>1722</v>
      </c>
      <c r="H17" s="17">
        <f t="shared" ref="H17:S17" si="4">MAX(H5:H14)</f>
        <v>-201</v>
      </c>
      <c r="I17" s="17">
        <f t="shared" si="4"/>
        <v>738</v>
      </c>
      <c r="J17" s="17">
        <f t="shared" si="4"/>
        <v>2500</v>
      </c>
      <c r="K17" s="17">
        <f t="shared" si="4"/>
        <v>778</v>
      </c>
      <c r="L17" s="17">
        <f t="shared" si="4"/>
        <v>68</v>
      </c>
      <c r="M17" s="17">
        <f t="shared" si="4"/>
        <v>47.44</v>
      </c>
      <c r="N17" s="17">
        <f t="shared" si="4"/>
        <v>23.3</v>
      </c>
      <c r="O17" s="17">
        <f t="shared" ref="O17" si="5">MAX(O5:O14)</f>
        <v>1200</v>
      </c>
      <c r="P17" s="17">
        <f t="shared" si="4"/>
        <v>43</v>
      </c>
      <c r="Q17" s="59">
        <f t="shared" si="4"/>
        <v>123000000</v>
      </c>
      <c r="R17" s="17">
        <f t="shared" si="4"/>
        <v>0</v>
      </c>
      <c r="S17" s="17">
        <f t="shared" si="4"/>
        <v>426</v>
      </c>
      <c r="T17" s="3"/>
      <c r="U17" s="3"/>
      <c r="V17" s="3"/>
      <c r="W17" s="3"/>
      <c r="X17" s="3"/>
      <c r="Y17" s="3"/>
      <c r="Z17" s="3"/>
      <c r="AA17" s="3"/>
      <c r="AB17" s="3"/>
    </row>
    <row r="18" spans="1:28" s="4" customFormat="1" x14ac:dyDescent="0.3">
      <c r="A18" s="92" t="s">
        <v>22</v>
      </c>
      <c r="B18" s="92"/>
      <c r="C18" s="92"/>
      <c r="D18" s="17"/>
      <c r="E18" s="17"/>
      <c r="F18" s="17">
        <f>MIN(F5:F14)</f>
        <v>7.33</v>
      </c>
      <c r="G18" s="17">
        <f>MIN(G5:G12)</f>
        <v>1163</v>
      </c>
      <c r="H18" s="17">
        <f t="shared" ref="H18:S18" si="6">MIN(H5:H14)</f>
        <v>-250</v>
      </c>
      <c r="I18" s="17">
        <f t="shared" si="6"/>
        <v>575</v>
      </c>
      <c r="J18" s="17">
        <f>MIN(J5:J14)</f>
        <v>810</v>
      </c>
      <c r="K18" s="17">
        <f t="shared" si="6"/>
        <v>222</v>
      </c>
      <c r="L18" s="17">
        <f t="shared" si="6"/>
        <v>68</v>
      </c>
      <c r="M18" s="17">
        <f t="shared" si="6"/>
        <v>15.81</v>
      </c>
      <c r="N18" s="17">
        <f t="shared" si="6"/>
        <v>20</v>
      </c>
      <c r="O18" s="17">
        <f t="shared" ref="O18" si="7">MIN(O5:O14)</f>
        <v>100</v>
      </c>
      <c r="P18" s="17">
        <f t="shared" si="6"/>
        <v>25.8</v>
      </c>
      <c r="Q18" s="59">
        <f t="shared" si="6"/>
        <v>23300000</v>
      </c>
      <c r="R18" s="17">
        <f t="shared" si="6"/>
        <v>0</v>
      </c>
      <c r="S18" s="17">
        <f t="shared" si="6"/>
        <v>426</v>
      </c>
      <c r="T18" s="3"/>
      <c r="U18" s="3"/>
      <c r="V18" s="3"/>
      <c r="W18" s="3"/>
      <c r="X18" s="3"/>
      <c r="Y18" s="3"/>
      <c r="Z18" s="3"/>
      <c r="AA18" s="3"/>
      <c r="AB18" s="3"/>
    </row>
    <row r="19" spans="1:28" s="5" customFormat="1" x14ac:dyDescent="0.3">
      <c r="A19" s="96" t="s">
        <v>1</v>
      </c>
      <c r="B19" s="96"/>
      <c r="C19" s="96"/>
      <c r="D19" s="18"/>
      <c r="E19" s="18"/>
      <c r="F19" s="19">
        <f t="shared" ref="F19:S19" si="8">STDEV(F5:F14)</f>
        <v>0.2552169945080347</v>
      </c>
      <c r="G19" s="19">
        <f>STDEV(G5:G12)</f>
        <v>170.26067199612314</v>
      </c>
      <c r="H19" s="19">
        <f t="shared" si="8"/>
        <v>15.467323467170889</v>
      </c>
      <c r="I19" s="19">
        <f t="shared" si="8"/>
        <v>86.365502372185617</v>
      </c>
      <c r="J19" s="19">
        <f t="shared" si="8"/>
        <v>709.57733898427171</v>
      </c>
      <c r="K19" s="19">
        <f t="shared" si="8"/>
        <v>255.69252368160213</v>
      </c>
      <c r="L19" s="19" t="e">
        <f t="shared" si="8"/>
        <v>#DIV/0!</v>
      </c>
      <c r="M19" s="19">
        <f t="shared" si="8"/>
        <v>14.466115292872049</v>
      </c>
      <c r="N19" s="19">
        <f t="shared" si="8"/>
        <v>1.4103781998693357</v>
      </c>
      <c r="O19" s="19">
        <f t="shared" ref="O19" si="9">STDEV(O5:O14)</f>
        <v>519.19007437867424</v>
      </c>
      <c r="P19" s="19">
        <f t="shared" si="8"/>
        <v>8.2800966177937667</v>
      </c>
      <c r="Q19" s="60">
        <f t="shared" si="8"/>
        <v>46459543.332523905</v>
      </c>
      <c r="R19" s="19" t="e">
        <f t="shared" si="8"/>
        <v>#DIV/0!</v>
      </c>
      <c r="S19" s="19" t="e">
        <f t="shared" si="8"/>
        <v>#DIV/0!</v>
      </c>
      <c r="T19" s="3"/>
      <c r="U19" s="3"/>
      <c r="V19" s="3"/>
      <c r="W19" s="3"/>
      <c r="X19" s="3"/>
      <c r="Y19" s="3"/>
      <c r="Z19" s="3"/>
      <c r="AA19" s="3"/>
      <c r="AB19" s="3"/>
    </row>
    <row r="20" spans="1:28" s="5" customFormat="1" x14ac:dyDescent="0.3">
      <c r="A20" s="96" t="s">
        <v>2</v>
      </c>
      <c r="B20" s="96"/>
      <c r="C20" s="96"/>
      <c r="D20" s="18"/>
      <c r="E20" s="18"/>
      <c r="F20" s="20">
        <f t="shared" ref="F20:S20" si="10">F19/F16</f>
        <v>3.3005754220243738E-2</v>
      </c>
      <c r="G20" s="20">
        <f>(G19/G16)</f>
        <v>0.12783532388258895</v>
      </c>
      <c r="H20" s="20">
        <f t="shared" si="10"/>
        <v>-7.0214827671981991E-2</v>
      </c>
      <c r="I20" s="20">
        <f t="shared" si="10"/>
        <v>0.12832912685317327</v>
      </c>
      <c r="J20" s="20">
        <f t="shared" si="10"/>
        <v>0.46836788051767109</v>
      </c>
      <c r="K20" s="20">
        <f t="shared" si="10"/>
        <v>0.63923130920400528</v>
      </c>
      <c r="L20" s="20" t="e">
        <f t="shared" si="10"/>
        <v>#DIV/0!</v>
      </c>
      <c r="M20" s="20">
        <f t="shared" si="10"/>
        <v>0.55687095728503699</v>
      </c>
      <c r="N20" s="20">
        <f t="shared" si="10"/>
        <v>6.5828620764029663E-2</v>
      </c>
      <c r="O20" s="20">
        <f t="shared" ref="O20" si="11">O19/O16</f>
        <v>1.2004394783321948</v>
      </c>
      <c r="P20" s="20">
        <f t="shared" si="10"/>
        <v>0.2167564559631876</v>
      </c>
      <c r="Q20" s="20">
        <f t="shared" si="10"/>
        <v>0.85916862380996584</v>
      </c>
      <c r="R20" s="20" t="e">
        <f t="shared" si="10"/>
        <v>#DIV/0!</v>
      </c>
      <c r="S20" s="20" t="e">
        <f t="shared" si="10"/>
        <v>#DIV/0!</v>
      </c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</row>
    <row r="22" spans="1:28" s="3" customFormat="1" x14ac:dyDescent="0.3">
      <c r="A22" s="36"/>
      <c r="B22" s="36"/>
      <c r="C22" s="36"/>
      <c r="D22" s="36"/>
      <c r="E22" s="36"/>
      <c r="F22" s="36"/>
      <c r="G22" s="36"/>
      <c r="H22" s="36"/>
      <c r="I22" s="37"/>
      <c r="J22" s="36"/>
      <c r="K22" s="37"/>
      <c r="L22" s="36"/>
      <c r="M22" s="36"/>
      <c r="N22" s="36"/>
      <c r="O22" s="36"/>
      <c r="P22" s="37"/>
      <c r="Q22" s="45"/>
      <c r="R22" s="36"/>
      <c r="S22" s="36"/>
    </row>
    <row r="23" spans="1:28" s="3" customFormat="1" x14ac:dyDescent="0.3">
      <c r="A23" s="36"/>
      <c r="B23" s="36"/>
      <c r="C23" s="36"/>
      <c r="D23" s="36"/>
      <c r="E23" s="36"/>
      <c r="F23" s="36"/>
      <c r="G23" s="36"/>
      <c r="H23" s="36"/>
      <c r="I23" s="37"/>
      <c r="J23" s="36"/>
      <c r="K23" s="37"/>
      <c r="L23" s="36"/>
      <c r="M23" s="36"/>
      <c r="N23" s="36"/>
      <c r="O23" s="36"/>
      <c r="P23" s="37"/>
      <c r="Q23" s="45"/>
      <c r="R23" s="36"/>
      <c r="S23" s="36"/>
    </row>
    <row r="24" spans="1:28" s="3" customFormat="1" x14ac:dyDescent="0.3">
      <c r="A24" s="36"/>
      <c r="B24" s="36"/>
      <c r="C24" s="36"/>
      <c r="D24" s="36"/>
      <c r="E24" s="36"/>
      <c r="F24" s="36"/>
      <c r="G24" s="36"/>
      <c r="H24" s="36"/>
      <c r="I24" s="37"/>
      <c r="J24" s="36"/>
      <c r="K24" s="37"/>
      <c r="L24" s="36"/>
      <c r="M24" s="36"/>
      <c r="N24" s="36"/>
      <c r="O24" s="36"/>
      <c r="P24" s="37"/>
      <c r="Q24" s="45"/>
      <c r="R24" s="36"/>
      <c r="S24" s="36"/>
    </row>
    <row r="25" spans="1:28" s="3" customFormat="1" x14ac:dyDescent="0.3">
      <c r="A25" s="36"/>
      <c r="B25" s="36"/>
      <c r="C25" s="36"/>
      <c r="D25" s="36"/>
      <c r="E25" s="36"/>
      <c r="F25" s="36"/>
      <c r="G25" s="36"/>
      <c r="H25" s="36"/>
      <c r="I25" s="37"/>
      <c r="J25" s="36"/>
      <c r="K25" s="37"/>
      <c r="L25" s="36"/>
      <c r="M25" s="36"/>
      <c r="N25" s="36"/>
      <c r="O25" s="36"/>
      <c r="P25" s="37"/>
      <c r="Q25" s="45"/>
      <c r="R25" s="36"/>
      <c r="S25" s="36"/>
    </row>
    <row r="26" spans="1:28" s="3" customFormat="1" x14ac:dyDescent="0.3">
      <c r="A26" s="36"/>
      <c r="B26" s="36"/>
      <c r="C26" s="36"/>
      <c r="D26" s="36"/>
      <c r="E26" s="36"/>
      <c r="F26" s="36"/>
      <c r="G26" s="36"/>
      <c r="H26" s="36"/>
      <c r="I26" s="37"/>
      <c r="J26" s="36"/>
      <c r="K26" s="37"/>
      <c r="L26" s="36"/>
      <c r="M26" s="36"/>
      <c r="N26" s="36"/>
      <c r="O26" s="36"/>
      <c r="P26" s="37"/>
      <c r="Q26" s="45"/>
      <c r="R26" s="36"/>
      <c r="S26" s="36"/>
    </row>
    <row r="27" spans="1:28" s="3" customFormat="1" x14ac:dyDescent="0.3">
      <c r="A27" s="36"/>
      <c r="B27" s="36"/>
      <c r="C27" s="36"/>
      <c r="D27" s="36"/>
      <c r="E27" s="36"/>
      <c r="F27" s="36"/>
      <c r="G27" s="36"/>
      <c r="H27" s="36"/>
      <c r="I27" s="37"/>
      <c r="J27" s="36"/>
      <c r="K27" s="37"/>
      <c r="L27" s="36"/>
      <c r="M27" s="36"/>
      <c r="N27" s="36"/>
      <c r="O27" s="36"/>
      <c r="P27" s="37"/>
      <c r="Q27" s="45"/>
      <c r="R27" s="36"/>
      <c r="S27" s="36"/>
    </row>
    <row r="28" spans="1:28" s="3" customFormat="1" x14ac:dyDescent="0.3">
      <c r="A28" s="36"/>
      <c r="B28" s="36"/>
      <c r="C28" s="36"/>
      <c r="D28" s="36"/>
      <c r="E28" s="36"/>
      <c r="F28" s="36"/>
      <c r="G28" s="36"/>
      <c r="H28" s="36"/>
      <c r="I28" s="37"/>
      <c r="J28" s="36"/>
      <c r="K28" s="37"/>
      <c r="L28" s="36"/>
      <c r="M28" s="36"/>
      <c r="N28" s="36"/>
      <c r="O28" s="36"/>
      <c r="P28" s="37"/>
      <c r="Q28" s="45"/>
      <c r="R28" s="36"/>
      <c r="S28" s="36"/>
    </row>
    <row r="29" spans="1:28" s="3" customFormat="1" x14ac:dyDescent="0.3">
      <c r="I29" s="38"/>
      <c r="K29" s="38"/>
      <c r="P29" s="38"/>
      <c r="Q29" s="46"/>
    </row>
    <row r="30" spans="1:28" s="3" customFormat="1" x14ac:dyDescent="0.3">
      <c r="I30" s="38"/>
      <c r="K30" s="38"/>
      <c r="P30" s="38"/>
      <c r="Q30" s="46"/>
    </row>
    <row r="31" spans="1:28" s="3" customFormat="1" x14ac:dyDescent="0.3">
      <c r="I31" s="38"/>
      <c r="K31" s="38"/>
      <c r="P31" s="38"/>
      <c r="Q31" s="46"/>
    </row>
    <row r="32" spans="1:28" s="3" customFormat="1" x14ac:dyDescent="0.3">
      <c r="I32" s="38"/>
      <c r="K32" s="38"/>
      <c r="P32" s="38"/>
      <c r="Q32" s="46"/>
    </row>
    <row r="33" spans="9:17" s="3" customFormat="1" x14ac:dyDescent="0.3">
      <c r="I33" s="38"/>
      <c r="K33" s="38"/>
      <c r="P33" s="38"/>
      <c r="Q33" s="46"/>
    </row>
    <row r="34" spans="9:17" s="3" customFormat="1" x14ac:dyDescent="0.3">
      <c r="I34" s="38"/>
      <c r="K34" s="38"/>
      <c r="P34" s="38"/>
      <c r="Q34" s="46"/>
    </row>
    <row r="35" spans="9:17" s="3" customFormat="1" x14ac:dyDescent="0.3">
      <c r="I35" s="38"/>
      <c r="K35" s="38"/>
      <c r="P35" s="38"/>
      <c r="Q35" s="46"/>
    </row>
    <row r="36" spans="9:17" s="3" customFormat="1" x14ac:dyDescent="0.3">
      <c r="I36" s="38"/>
      <c r="K36" s="38"/>
      <c r="P36" s="38"/>
      <c r="Q36" s="46"/>
    </row>
    <row r="37" spans="9:17" s="3" customFormat="1" x14ac:dyDescent="0.3">
      <c r="I37" s="38"/>
      <c r="K37" s="38"/>
      <c r="P37" s="38"/>
      <c r="Q37" s="46"/>
    </row>
    <row r="38" spans="9:17" s="3" customFormat="1" x14ac:dyDescent="0.3">
      <c r="I38" s="38"/>
      <c r="K38" s="38"/>
      <c r="P38" s="38"/>
      <c r="Q38" s="46"/>
    </row>
    <row r="39" spans="9:17" s="3" customFormat="1" x14ac:dyDescent="0.3">
      <c r="I39" s="38"/>
      <c r="K39" s="38"/>
      <c r="P39" s="38"/>
      <c r="Q39" s="46"/>
    </row>
    <row r="40" spans="9:17" s="3" customFormat="1" x14ac:dyDescent="0.3">
      <c r="I40" s="38"/>
      <c r="K40" s="38"/>
      <c r="P40" s="38"/>
      <c r="Q40" s="46"/>
    </row>
    <row r="41" spans="9:17" s="3" customFormat="1" x14ac:dyDescent="0.3">
      <c r="I41" s="38"/>
      <c r="K41" s="38"/>
      <c r="P41" s="38"/>
      <c r="Q41" s="46"/>
    </row>
    <row r="42" spans="9:17" s="3" customFormat="1" x14ac:dyDescent="0.3">
      <c r="I42" s="38"/>
      <c r="K42" s="38"/>
      <c r="P42" s="38"/>
      <c r="Q42" s="46"/>
    </row>
    <row r="43" spans="9:17" s="3" customFormat="1" x14ac:dyDescent="0.3">
      <c r="I43" s="38"/>
      <c r="K43" s="38"/>
      <c r="P43" s="38"/>
      <c r="Q43" s="46"/>
    </row>
  </sheetData>
  <mergeCells count="8">
    <mergeCell ref="A21:S21"/>
    <mergeCell ref="A17:C17"/>
    <mergeCell ref="A18:C18"/>
    <mergeCell ref="A3:S3"/>
    <mergeCell ref="A15:C15"/>
    <mergeCell ref="A16:C16"/>
    <mergeCell ref="A19:C19"/>
    <mergeCell ref="A20:C20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workbookViewId="0">
      <selection activeCell="A12" sqref="A12"/>
    </sheetView>
  </sheetViews>
  <sheetFormatPr baseColWidth="10" defaultRowHeight="14.4" x14ac:dyDescent="0.3"/>
  <sheetData>
    <row r="1" spans="1:33" s="23" customFormat="1" x14ac:dyDescent="0.3">
      <c r="A1" s="21" t="s">
        <v>23</v>
      </c>
      <c r="B1" s="21"/>
      <c r="C1" s="21"/>
      <c r="D1" s="21"/>
      <c r="E1" s="21"/>
      <c r="F1" s="21"/>
      <c r="G1" s="21"/>
      <c r="H1" s="21"/>
      <c r="I1" s="22"/>
      <c r="J1" s="21"/>
      <c r="K1" s="22"/>
      <c r="L1" s="21"/>
      <c r="M1" s="21"/>
      <c r="N1" s="21"/>
      <c r="O1" s="21"/>
      <c r="P1" s="22"/>
      <c r="Q1" s="39"/>
      <c r="R1" s="21"/>
      <c r="S1" s="21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</row>
    <row r="2" spans="1:33" x14ac:dyDescent="0.3">
      <c r="A2" s="7"/>
      <c r="B2" s="7"/>
      <c r="C2" s="7"/>
      <c r="D2" s="7"/>
      <c r="E2" s="7"/>
      <c r="F2" s="7"/>
      <c r="G2" s="7"/>
      <c r="H2" s="7"/>
      <c r="I2" s="8"/>
      <c r="J2" s="7"/>
      <c r="K2" s="7"/>
      <c r="L2" s="7"/>
      <c r="M2" s="7"/>
      <c r="N2" s="7"/>
      <c r="O2" s="7"/>
      <c r="P2" s="8"/>
      <c r="Q2" s="40"/>
      <c r="R2" s="7"/>
      <c r="S2" s="7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s="24" customFormat="1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s="24" customFormat="1" ht="52.95" customHeight="1" x14ac:dyDescent="0.3">
      <c r="A4" s="25" t="s">
        <v>3</v>
      </c>
      <c r="B4" s="26" t="s">
        <v>4</v>
      </c>
      <c r="C4" s="25" t="s">
        <v>5</v>
      </c>
      <c r="D4" s="25" t="s">
        <v>6</v>
      </c>
      <c r="E4" s="25" t="s">
        <v>10</v>
      </c>
      <c r="F4" s="27" t="s">
        <v>8</v>
      </c>
      <c r="G4" s="27" t="s">
        <v>47</v>
      </c>
      <c r="H4" s="27" t="s">
        <v>9</v>
      </c>
      <c r="I4" s="28" t="s">
        <v>11</v>
      </c>
      <c r="J4" s="28" t="s">
        <v>12</v>
      </c>
      <c r="K4" s="28" t="s">
        <v>13</v>
      </c>
      <c r="L4" s="28" t="s">
        <v>14</v>
      </c>
      <c r="M4" s="28" t="s">
        <v>15</v>
      </c>
      <c r="N4" s="28" t="s">
        <v>16</v>
      </c>
      <c r="O4" s="28" t="s">
        <v>59</v>
      </c>
      <c r="P4" s="28" t="s">
        <v>17</v>
      </c>
      <c r="Q4" s="27" t="s">
        <v>7</v>
      </c>
      <c r="R4" s="27" t="s">
        <v>18</v>
      </c>
      <c r="S4" s="27" t="s">
        <v>19</v>
      </c>
      <c r="T4" s="62" t="s">
        <v>58</v>
      </c>
      <c r="U4" s="62" t="s">
        <v>37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s="24" customFormat="1" x14ac:dyDescent="0.3">
      <c r="A5" s="29" t="s">
        <v>44</v>
      </c>
      <c r="B5" s="64">
        <v>43564</v>
      </c>
      <c r="C5" s="53"/>
      <c r="D5" s="53"/>
      <c r="E5" s="53">
        <v>27.2</v>
      </c>
      <c r="F5" s="53">
        <v>7.28</v>
      </c>
      <c r="G5" s="53">
        <v>1267</v>
      </c>
      <c r="H5" s="53"/>
      <c r="I5" s="53">
        <v>361</v>
      </c>
      <c r="J5" s="53">
        <v>740</v>
      </c>
      <c r="K5" s="53">
        <v>242</v>
      </c>
      <c r="L5" s="53"/>
      <c r="M5" s="53">
        <v>18.07</v>
      </c>
      <c r="N5" s="53">
        <v>55</v>
      </c>
      <c r="O5" s="84">
        <v>110</v>
      </c>
      <c r="P5" s="84">
        <v>69.599999999999994</v>
      </c>
      <c r="Q5" s="70">
        <v>2670000</v>
      </c>
      <c r="R5" s="53"/>
      <c r="S5" s="53"/>
      <c r="T5" s="53" t="s">
        <v>34</v>
      </c>
      <c r="U5" s="5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s="24" customFormat="1" ht="57.6" x14ac:dyDescent="0.3">
      <c r="A6" s="34" t="s">
        <v>44</v>
      </c>
      <c r="B6" s="64">
        <v>43571</v>
      </c>
      <c r="C6" s="53" t="s">
        <v>48</v>
      </c>
      <c r="D6" s="53"/>
      <c r="E6" s="53">
        <v>26.9</v>
      </c>
      <c r="F6" s="53">
        <v>7.39</v>
      </c>
      <c r="G6" s="53">
        <v>1648</v>
      </c>
      <c r="H6" s="53">
        <v>-257</v>
      </c>
      <c r="I6" s="53">
        <v>597</v>
      </c>
      <c r="J6" s="53">
        <v>1140</v>
      </c>
      <c r="K6" s="53">
        <v>220</v>
      </c>
      <c r="L6" s="53">
        <v>85.5</v>
      </c>
      <c r="M6" s="84">
        <v>24.85</v>
      </c>
      <c r="N6" s="53">
        <v>58</v>
      </c>
      <c r="O6" s="71">
        <v>800</v>
      </c>
      <c r="P6" s="53">
        <v>41</v>
      </c>
      <c r="Q6" s="72">
        <v>2670000</v>
      </c>
      <c r="R6" s="73" t="s">
        <v>49</v>
      </c>
      <c r="S6" s="53">
        <v>237</v>
      </c>
      <c r="T6" s="53" t="s">
        <v>34</v>
      </c>
      <c r="U6" s="5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s="24" customFormat="1" x14ac:dyDescent="0.3">
      <c r="A7" s="34" t="s">
        <v>44</v>
      </c>
      <c r="B7" s="64">
        <v>43578</v>
      </c>
      <c r="C7" s="53" t="s">
        <v>50</v>
      </c>
      <c r="D7" s="53"/>
      <c r="E7" s="53">
        <v>26.7</v>
      </c>
      <c r="F7" s="53">
        <v>7.32</v>
      </c>
      <c r="G7" s="53">
        <v>1454</v>
      </c>
      <c r="H7" s="53">
        <v>-212</v>
      </c>
      <c r="I7" s="53">
        <v>597</v>
      </c>
      <c r="J7" s="53">
        <v>1510</v>
      </c>
      <c r="K7" s="53">
        <v>300</v>
      </c>
      <c r="L7" s="53"/>
      <c r="M7" s="53">
        <v>27.1</v>
      </c>
      <c r="N7" s="53">
        <v>57</v>
      </c>
      <c r="O7" s="53">
        <v>900</v>
      </c>
      <c r="P7" s="84">
        <v>58</v>
      </c>
      <c r="Q7" s="70">
        <v>3330000</v>
      </c>
      <c r="R7" s="53"/>
      <c r="S7" s="53"/>
      <c r="T7" s="53" t="s">
        <v>34</v>
      </c>
      <c r="U7" s="5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s="24" customFormat="1" x14ac:dyDescent="0.3">
      <c r="A8" s="29" t="s">
        <v>45</v>
      </c>
      <c r="B8" s="64">
        <v>43586</v>
      </c>
      <c r="C8" s="53" t="s">
        <v>51</v>
      </c>
      <c r="D8" s="53"/>
      <c r="E8" s="53">
        <v>25.9</v>
      </c>
      <c r="F8" s="53">
        <v>7.59</v>
      </c>
      <c r="G8" s="53">
        <v>1543</v>
      </c>
      <c r="H8" s="53">
        <v>-295</v>
      </c>
      <c r="I8" s="53">
        <v>537</v>
      </c>
      <c r="J8" s="53">
        <v>1360</v>
      </c>
      <c r="K8" s="53">
        <v>244</v>
      </c>
      <c r="L8" s="53"/>
      <c r="M8" s="53">
        <v>17.170000000000002</v>
      </c>
      <c r="N8" s="53">
        <v>50</v>
      </c>
      <c r="O8" s="53">
        <v>150</v>
      </c>
      <c r="P8" s="53">
        <v>20.399999999999999</v>
      </c>
      <c r="Q8" s="70">
        <v>4000000</v>
      </c>
      <c r="R8" s="53"/>
      <c r="S8" s="53"/>
      <c r="T8" s="53" t="s">
        <v>34</v>
      </c>
      <c r="U8" s="5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s="24" customFormat="1" x14ac:dyDescent="0.3">
      <c r="A9" s="34" t="s">
        <v>45</v>
      </c>
      <c r="B9" s="64">
        <v>43598</v>
      </c>
      <c r="C9" s="53" t="s">
        <v>52</v>
      </c>
      <c r="D9" s="53"/>
      <c r="E9" s="53">
        <v>27.4</v>
      </c>
      <c r="F9" s="53">
        <v>7.35</v>
      </c>
      <c r="G9" s="53">
        <v>1404</v>
      </c>
      <c r="H9" s="53">
        <v>-237</v>
      </c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 t="s">
        <v>36</v>
      </c>
      <c r="U9" s="53" t="s">
        <v>53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s="24" customFormat="1" x14ac:dyDescent="0.3">
      <c r="A10" s="34" t="s">
        <v>45</v>
      </c>
      <c r="B10" s="63">
        <v>43608</v>
      </c>
      <c r="C10" s="53" t="s">
        <v>54</v>
      </c>
      <c r="D10" s="53"/>
      <c r="E10" s="53">
        <v>27.5</v>
      </c>
      <c r="F10" s="53">
        <v>7.58</v>
      </c>
      <c r="G10" s="53">
        <v>1339</v>
      </c>
      <c r="H10" s="53">
        <v>-248</v>
      </c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 t="s">
        <v>36</v>
      </c>
      <c r="U10" s="53" t="s">
        <v>55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s="24" customFormat="1" x14ac:dyDescent="0.3">
      <c r="A11" s="29" t="s">
        <v>45</v>
      </c>
      <c r="B11" s="63">
        <v>43612</v>
      </c>
      <c r="C11" s="53" t="s">
        <v>56</v>
      </c>
      <c r="D11" s="53"/>
      <c r="E11" s="53">
        <v>26.6</v>
      </c>
      <c r="F11" s="53">
        <v>7.67</v>
      </c>
      <c r="G11" s="53">
        <v>1283</v>
      </c>
      <c r="H11" s="53">
        <v>-239</v>
      </c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 t="s">
        <v>36</v>
      </c>
      <c r="U11" s="53" t="s">
        <v>57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s="24" customFormat="1" x14ac:dyDescent="0.3">
      <c r="A12" s="29" t="s">
        <v>111</v>
      </c>
      <c r="B12" s="30">
        <v>43633</v>
      </c>
      <c r="C12" s="53" t="s">
        <v>56</v>
      </c>
      <c r="D12" s="53"/>
      <c r="E12" s="53">
        <v>28.6</v>
      </c>
      <c r="F12" s="53">
        <v>7.59</v>
      </c>
      <c r="G12" s="53">
        <v>1427</v>
      </c>
      <c r="H12" s="53">
        <v>-244</v>
      </c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s="24" customFormat="1" x14ac:dyDescent="0.3">
      <c r="A13" s="29"/>
      <c r="B13" s="30"/>
      <c r="C13" s="25"/>
      <c r="D13" s="25"/>
      <c r="E13" s="25"/>
      <c r="F13" s="25"/>
      <c r="G13" s="25"/>
      <c r="H13" s="25"/>
      <c r="I13" s="31"/>
      <c r="J13" s="25"/>
      <c r="K13" s="31"/>
      <c r="L13" s="25"/>
      <c r="M13" s="25"/>
      <c r="N13" s="25"/>
      <c r="O13" s="25"/>
      <c r="P13" s="31"/>
      <c r="Q13" s="41"/>
      <c r="R13" s="35"/>
      <c r="S13" s="35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3">
      <c r="A14" s="10"/>
      <c r="B14" s="11"/>
      <c r="C14" s="9"/>
      <c r="D14" s="9"/>
      <c r="E14" s="9"/>
      <c r="F14" s="9"/>
      <c r="G14" s="9"/>
      <c r="H14" s="9"/>
      <c r="I14" s="12"/>
      <c r="J14" s="9"/>
      <c r="K14" s="12"/>
      <c r="L14" s="9"/>
      <c r="M14" s="9"/>
      <c r="N14" s="9"/>
      <c r="O14" s="9"/>
      <c r="P14" s="12"/>
      <c r="Q14" s="42"/>
      <c r="R14" s="13"/>
      <c r="S14" s="14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3">
      <c r="A15" s="94" t="s">
        <v>0</v>
      </c>
      <c r="B15" s="94"/>
      <c r="C15" s="94"/>
      <c r="D15" s="15"/>
      <c r="E15" s="15"/>
      <c r="F15" s="15">
        <f t="shared" ref="F15:S15" si="0">COUNT(F5:F14)</f>
        <v>8</v>
      </c>
      <c r="G15" s="15"/>
      <c r="H15" s="15">
        <f t="shared" si="0"/>
        <v>7</v>
      </c>
      <c r="I15" s="15">
        <f t="shared" si="0"/>
        <v>4</v>
      </c>
      <c r="J15" s="15">
        <f t="shared" si="0"/>
        <v>4</v>
      </c>
      <c r="K15" s="15">
        <f t="shared" si="0"/>
        <v>4</v>
      </c>
      <c r="L15" s="15">
        <f t="shared" si="0"/>
        <v>1</v>
      </c>
      <c r="M15" s="15">
        <f t="shared" si="0"/>
        <v>4</v>
      </c>
      <c r="N15" s="15">
        <f t="shared" si="0"/>
        <v>4</v>
      </c>
      <c r="O15" s="15">
        <f t="shared" si="0"/>
        <v>4</v>
      </c>
      <c r="P15" s="15">
        <f t="shared" si="0"/>
        <v>4</v>
      </c>
      <c r="Q15" s="15">
        <f t="shared" si="0"/>
        <v>4</v>
      </c>
      <c r="R15" s="15">
        <f t="shared" si="0"/>
        <v>0</v>
      </c>
      <c r="S15" s="15">
        <f t="shared" si="0"/>
        <v>1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s="6" customFormat="1" x14ac:dyDescent="0.3">
      <c r="A16" s="95" t="s">
        <v>20</v>
      </c>
      <c r="B16" s="95"/>
      <c r="C16" s="95"/>
      <c r="D16" s="16"/>
      <c r="E16" s="16"/>
      <c r="F16" s="16">
        <f>AVERAGE(F5:F14)</f>
        <v>7.4712499999999995</v>
      </c>
      <c r="G16" s="16"/>
      <c r="H16" s="16">
        <f t="shared" ref="H16:S16" si="1">AVERAGE(H5:H14)</f>
        <v>-247.42857142857142</v>
      </c>
      <c r="I16" s="16">
        <f t="shared" si="1"/>
        <v>523</v>
      </c>
      <c r="J16" s="16">
        <f t="shared" si="1"/>
        <v>1187.5</v>
      </c>
      <c r="K16" s="16">
        <f t="shared" si="1"/>
        <v>251.5</v>
      </c>
      <c r="L16" s="16">
        <f t="shared" si="1"/>
        <v>85.5</v>
      </c>
      <c r="M16" s="16">
        <f t="shared" si="1"/>
        <v>21.797500000000003</v>
      </c>
      <c r="N16" s="16">
        <f t="shared" si="1"/>
        <v>55</v>
      </c>
      <c r="O16" s="16">
        <f t="shared" si="1"/>
        <v>490</v>
      </c>
      <c r="P16" s="16">
        <f t="shared" si="1"/>
        <v>47.25</v>
      </c>
      <c r="Q16" s="43">
        <f t="shared" si="1"/>
        <v>3167500</v>
      </c>
      <c r="R16" s="16" t="e">
        <f t="shared" si="1"/>
        <v>#DIV/0!</v>
      </c>
      <c r="S16" s="16">
        <f t="shared" si="1"/>
        <v>237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s="4" customFormat="1" x14ac:dyDescent="0.3">
      <c r="A17" s="92" t="s">
        <v>21</v>
      </c>
      <c r="B17" s="92"/>
      <c r="C17" s="92"/>
      <c r="D17" s="17"/>
      <c r="E17" s="17"/>
      <c r="F17" s="17">
        <f>MAX(F5:F14)</f>
        <v>7.67</v>
      </c>
      <c r="G17" s="17"/>
      <c r="H17" s="17">
        <f t="shared" ref="H17:S17" si="2">MAX(H5:H14)</f>
        <v>-212</v>
      </c>
      <c r="I17" s="17">
        <f t="shared" si="2"/>
        <v>597</v>
      </c>
      <c r="J17" s="17">
        <f t="shared" si="2"/>
        <v>1510</v>
      </c>
      <c r="K17" s="17">
        <f t="shared" si="2"/>
        <v>300</v>
      </c>
      <c r="L17" s="17">
        <f t="shared" si="2"/>
        <v>85.5</v>
      </c>
      <c r="M17" s="17">
        <f t="shared" si="2"/>
        <v>27.1</v>
      </c>
      <c r="N17" s="17">
        <f t="shared" si="2"/>
        <v>58</v>
      </c>
      <c r="O17" s="17">
        <f t="shared" si="2"/>
        <v>900</v>
      </c>
      <c r="P17" s="17">
        <f t="shared" si="2"/>
        <v>69.599999999999994</v>
      </c>
      <c r="Q17" s="44">
        <f t="shared" si="2"/>
        <v>4000000</v>
      </c>
      <c r="R17" s="17">
        <f t="shared" si="2"/>
        <v>0</v>
      </c>
      <c r="S17" s="17">
        <f t="shared" si="2"/>
        <v>237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s="4" customFormat="1" x14ac:dyDescent="0.3">
      <c r="A18" s="92" t="s">
        <v>22</v>
      </c>
      <c r="B18" s="92"/>
      <c r="C18" s="92"/>
      <c r="D18" s="17"/>
      <c r="E18" s="17"/>
      <c r="F18" s="17">
        <f>MIN(F5:F14)</f>
        <v>7.28</v>
      </c>
      <c r="G18" s="17"/>
      <c r="H18" s="17">
        <f t="shared" ref="H18:S18" si="3">MIN(H5:H14)</f>
        <v>-295</v>
      </c>
      <c r="I18" s="17">
        <f t="shared" si="3"/>
        <v>361</v>
      </c>
      <c r="J18" s="17">
        <f t="shared" si="3"/>
        <v>740</v>
      </c>
      <c r="K18" s="17">
        <f t="shared" si="3"/>
        <v>220</v>
      </c>
      <c r="L18" s="17">
        <f t="shared" si="3"/>
        <v>85.5</v>
      </c>
      <c r="M18" s="17">
        <f t="shared" si="3"/>
        <v>17.170000000000002</v>
      </c>
      <c r="N18" s="17">
        <f t="shared" si="3"/>
        <v>50</v>
      </c>
      <c r="O18" s="17">
        <f t="shared" si="3"/>
        <v>110</v>
      </c>
      <c r="P18" s="17">
        <f t="shared" si="3"/>
        <v>20.399999999999999</v>
      </c>
      <c r="Q18" s="44">
        <f t="shared" si="3"/>
        <v>2670000</v>
      </c>
      <c r="R18" s="17">
        <f t="shared" si="3"/>
        <v>0</v>
      </c>
      <c r="S18" s="17">
        <f t="shared" si="3"/>
        <v>237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s="5" customFormat="1" x14ac:dyDescent="0.3">
      <c r="A19" s="96" t="s">
        <v>1</v>
      </c>
      <c r="B19" s="96"/>
      <c r="C19" s="96"/>
      <c r="D19" s="18"/>
      <c r="E19" s="18"/>
      <c r="F19" s="19">
        <f t="shared" ref="F19:S19" si="4">STDEV(F5:F14)</f>
        <v>0.15132155922311358</v>
      </c>
      <c r="G19" s="19"/>
      <c r="H19" s="19">
        <f t="shared" si="4"/>
        <v>25.171790711410416</v>
      </c>
      <c r="I19" s="19">
        <f t="shared" si="4"/>
        <v>111.6422858956229</v>
      </c>
      <c r="J19" s="19">
        <f t="shared" si="4"/>
        <v>334.80093588081064</v>
      </c>
      <c r="K19" s="19">
        <f t="shared" si="4"/>
        <v>34.11255878216506</v>
      </c>
      <c r="L19" s="19" t="e">
        <f t="shared" si="4"/>
        <v>#DIV/0!</v>
      </c>
      <c r="M19" s="19">
        <f t="shared" si="4"/>
        <v>4.9241674423195514</v>
      </c>
      <c r="N19" s="19">
        <f t="shared" si="4"/>
        <v>3.5590260840104371</v>
      </c>
      <c r="O19" s="19">
        <f t="shared" si="4"/>
        <v>418.01116412523402</v>
      </c>
      <c r="P19" s="19">
        <f t="shared" si="4"/>
        <v>21.409265906767253</v>
      </c>
      <c r="Q19" s="19">
        <f t="shared" si="4"/>
        <v>636258.59522681497</v>
      </c>
      <c r="R19" s="19" t="e">
        <f t="shared" si="4"/>
        <v>#DIV/0!</v>
      </c>
      <c r="S19" s="19" t="e">
        <f t="shared" si="4"/>
        <v>#DIV/0!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s="5" customFormat="1" x14ac:dyDescent="0.3">
      <c r="A20" s="96" t="s">
        <v>2</v>
      </c>
      <c r="B20" s="96"/>
      <c r="C20" s="96"/>
      <c r="D20" s="18"/>
      <c r="E20" s="18"/>
      <c r="F20" s="20">
        <f t="shared" ref="F20:S20" si="5">F19/F16</f>
        <v>2.0253847645723754E-2</v>
      </c>
      <c r="G20" s="20"/>
      <c r="H20" s="20">
        <f t="shared" si="5"/>
        <v>-0.10173356523087351</v>
      </c>
      <c r="I20" s="20">
        <f t="shared" si="5"/>
        <v>0.21346517379660213</v>
      </c>
      <c r="J20" s="20">
        <f t="shared" si="5"/>
        <v>0.28193763021541951</v>
      </c>
      <c r="K20" s="20">
        <f t="shared" si="5"/>
        <v>0.13563641662888692</v>
      </c>
      <c r="L20" s="20" t="e">
        <f t="shared" si="5"/>
        <v>#DIV/0!</v>
      </c>
      <c r="M20" s="20">
        <f t="shared" si="5"/>
        <v>0.22590514702693201</v>
      </c>
      <c r="N20" s="20">
        <f t="shared" si="5"/>
        <v>6.470956516382613E-2</v>
      </c>
      <c r="O20" s="20">
        <f t="shared" si="5"/>
        <v>0.85308400841884491</v>
      </c>
      <c r="P20" s="20">
        <f t="shared" si="5"/>
        <v>0.45310615675697891</v>
      </c>
      <c r="Q20" s="20">
        <f t="shared" si="5"/>
        <v>0.200870906148955</v>
      </c>
      <c r="R20" s="20" t="e">
        <f t="shared" si="5"/>
        <v>#DIV/0!</v>
      </c>
      <c r="S20" s="20" t="e">
        <f t="shared" si="5"/>
        <v>#DIV/0!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3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8">
    <mergeCell ref="A20:C20"/>
    <mergeCell ref="A21:S21"/>
    <mergeCell ref="A3:S3"/>
    <mergeCell ref="A15:C15"/>
    <mergeCell ref="A16:C16"/>
    <mergeCell ref="A17:C17"/>
    <mergeCell ref="A18:C18"/>
    <mergeCell ref="A19:C19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tabSelected="1" workbookViewId="0">
      <selection activeCell="H12" sqref="H12"/>
    </sheetView>
  </sheetViews>
  <sheetFormatPr baseColWidth="10" defaultRowHeight="14.4" x14ac:dyDescent="0.3"/>
  <sheetData>
    <row r="1" spans="1:33" s="23" customFormat="1" x14ac:dyDescent="0.3">
      <c r="A1" s="21" t="s">
        <v>23</v>
      </c>
      <c r="B1" s="21"/>
      <c r="C1" s="21"/>
      <c r="D1" s="21"/>
      <c r="E1" s="21"/>
      <c r="F1" s="21"/>
      <c r="G1" s="21"/>
      <c r="H1" s="21"/>
      <c r="I1" s="22"/>
      <c r="J1" s="21"/>
      <c r="K1" s="22"/>
      <c r="L1" s="21"/>
      <c r="M1" s="21"/>
      <c r="N1" s="21"/>
      <c r="O1" s="21"/>
      <c r="P1" s="22"/>
      <c r="Q1" s="39"/>
      <c r="R1" s="21"/>
      <c r="S1" s="21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</row>
    <row r="2" spans="1:33" x14ac:dyDescent="0.3">
      <c r="A2" s="7"/>
      <c r="B2" s="7"/>
      <c r="C2" s="7"/>
      <c r="D2" s="7"/>
      <c r="E2" s="7"/>
      <c r="F2" s="7"/>
      <c r="G2" s="7"/>
      <c r="H2" s="7"/>
      <c r="I2" s="8"/>
      <c r="J2" s="7"/>
      <c r="K2" s="7"/>
      <c r="L2" s="7"/>
      <c r="M2" s="7"/>
      <c r="N2" s="7"/>
      <c r="O2" s="7"/>
      <c r="P2" s="8"/>
      <c r="Q2" s="40"/>
      <c r="R2" s="7"/>
      <c r="S2" s="7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s="24" customFormat="1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s="24" customFormat="1" ht="52.95" customHeight="1" x14ac:dyDescent="0.3">
      <c r="A4" s="25" t="s">
        <v>3</v>
      </c>
      <c r="B4" s="26" t="s">
        <v>4</v>
      </c>
      <c r="C4" s="25" t="s">
        <v>5</v>
      </c>
      <c r="D4" s="25" t="s">
        <v>25</v>
      </c>
      <c r="E4" s="25" t="s">
        <v>10</v>
      </c>
      <c r="F4" s="27" t="s">
        <v>8</v>
      </c>
      <c r="G4" s="27" t="s">
        <v>47</v>
      </c>
      <c r="H4" s="27" t="s">
        <v>9</v>
      </c>
      <c r="I4" s="28" t="s">
        <v>11</v>
      </c>
      <c r="J4" s="28" t="s">
        <v>12</v>
      </c>
      <c r="K4" s="28" t="s">
        <v>13</v>
      </c>
      <c r="L4" s="28" t="s">
        <v>14</v>
      </c>
      <c r="M4" s="28" t="s">
        <v>15</v>
      </c>
      <c r="N4" s="28" t="s">
        <v>16</v>
      </c>
      <c r="O4" s="28" t="s">
        <v>59</v>
      </c>
      <c r="P4" s="28" t="s">
        <v>17</v>
      </c>
      <c r="Q4" s="27" t="s">
        <v>7</v>
      </c>
      <c r="R4" s="27" t="s">
        <v>18</v>
      </c>
      <c r="S4" s="27" t="s">
        <v>19</v>
      </c>
      <c r="T4" s="62" t="s">
        <v>58</v>
      </c>
      <c r="U4" s="62" t="s">
        <v>37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s="24" customFormat="1" x14ac:dyDescent="0.3">
      <c r="A5" s="29" t="s">
        <v>44</v>
      </c>
      <c r="B5" s="64">
        <v>43564</v>
      </c>
      <c r="C5" s="53" t="s">
        <v>38</v>
      </c>
      <c r="D5" s="53"/>
      <c r="E5" s="53">
        <v>27.7</v>
      </c>
      <c r="F5" s="53">
        <v>7.84</v>
      </c>
      <c r="G5" s="53">
        <v>1024</v>
      </c>
      <c r="H5" s="53"/>
      <c r="I5" s="53">
        <v>70.3</v>
      </c>
      <c r="J5" s="53">
        <v>270</v>
      </c>
      <c r="K5" s="53">
        <v>98</v>
      </c>
      <c r="L5" s="53"/>
      <c r="M5" s="53">
        <v>11.3</v>
      </c>
      <c r="N5" s="53">
        <v>21</v>
      </c>
      <c r="O5" s="53">
        <v>90</v>
      </c>
      <c r="P5" s="53">
        <v>46</v>
      </c>
      <c r="Q5" s="70">
        <v>3670000</v>
      </c>
      <c r="R5" s="53"/>
      <c r="S5" s="53"/>
      <c r="T5" s="53" t="s">
        <v>34</v>
      </c>
      <c r="U5" s="53" t="s">
        <v>61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s="24" customFormat="1" ht="72" x14ac:dyDescent="0.3">
      <c r="A6" s="34" t="s">
        <v>44</v>
      </c>
      <c r="B6" s="64">
        <v>43571</v>
      </c>
      <c r="C6" s="53" t="s">
        <v>62</v>
      </c>
      <c r="D6" s="53"/>
      <c r="E6" s="53">
        <v>27.4</v>
      </c>
      <c r="F6" s="53">
        <v>7.82</v>
      </c>
      <c r="G6" s="53">
        <v>1254</v>
      </c>
      <c r="H6" s="53">
        <v>-27</v>
      </c>
      <c r="I6" s="53">
        <v>214.5</v>
      </c>
      <c r="J6" s="53">
        <v>237</v>
      </c>
      <c r="K6" s="74">
        <v>79</v>
      </c>
      <c r="L6" s="53">
        <v>47.7</v>
      </c>
      <c r="M6" s="53">
        <v>11.3</v>
      </c>
      <c r="N6" s="53">
        <v>21</v>
      </c>
      <c r="O6" s="71">
        <v>700</v>
      </c>
      <c r="P6" s="53">
        <v>40</v>
      </c>
      <c r="Q6" s="75">
        <v>2670000</v>
      </c>
      <c r="R6" s="73" t="s">
        <v>63</v>
      </c>
      <c r="S6" s="53">
        <v>57</v>
      </c>
      <c r="T6" s="53" t="s">
        <v>34</v>
      </c>
      <c r="U6" s="5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s="24" customFormat="1" x14ac:dyDescent="0.3">
      <c r="A7" s="34" t="s">
        <v>44</v>
      </c>
      <c r="B7" s="64">
        <v>43578</v>
      </c>
      <c r="C7" s="53" t="s">
        <v>64</v>
      </c>
      <c r="D7" s="53"/>
      <c r="E7" s="53">
        <v>27.4</v>
      </c>
      <c r="F7" s="53">
        <v>8.02</v>
      </c>
      <c r="G7" s="53">
        <v>1164</v>
      </c>
      <c r="H7" s="53">
        <v>-55</v>
      </c>
      <c r="I7" s="53">
        <v>76</v>
      </c>
      <c r="J7" s="53">
        <v>234</v>
      </c>
      <c r="K7" s="53">
        <v>55</v>
      </c>
      <c r="L7" s="53"/>
      <c r="M7" s="53">
        <v>18.07</v>
      </c>
      <c r="N7" s="53">
        <v>23</v>
      </c>
      <c r="O7" s="53">
        <v>120</v>
      </c>
      <c r="P7" s="84">
        <v>86</v>
      </c>
      <c r="Q7" s="70">
        <v>3670000</v>
      </c>
      <c r="R7" s="53"/>
      <c r="S7" s="53"/>
      <c r="T7" s="53" t="s">
        <v>34</v>
      </c>
      <c r="U7" s="5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s="24" customFormat="1" x14ac:dyDescent="0.3">
      <c r="A8" s="29" t="s">
        <v>45</v>
      </c>
      <c r="B8" s="64">
        <v>43586</v>
      </c>
      <c r="C8" s="53" t="s">
        <v>38</v>
      </c>
      <c r="D8" s="53"/>
      <c r="E8" s="53">
        <v>26.7</v>
      </c>
      <c r="F8" s="53">
        <v>7.59</v>
      </c>
      <c r="G8" s="53">
        <v>1272</v>
      </c>
      <c r="H8" s="53">
        <v>-209</v>
      </c>
      <c r="I8" s="53">
        <v>64.7</v>
      </c>
      <c r="J8" s="53">
        <v>247</v>
      </c>
      <c r="K8" s="53">
        <v>50</v>
      </c>
      <c r="L8" s="53"/>
      <c r="M8" s="53">
        <v>4.5199999999999996</v>
      </c>
      <c r="N8" s="53">
        <v>20</v>
      </c>
      <c r="O8" s="53">
        <v>60</v>
      </c>
      <c r="P8" s="53">
        <v>11</v>
      </c>
      <c r="Q8" s="70">
        <v>1000000</v>
      </c>
      <c r="R8" s="53"/>
      <c r="S8" s="53"/>
      <c r="T8" s="53" t="s">
        <v>34</v>
      </c>
      <c r="U8" s="53" t="s">
        <v>65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s="24" customFormat="1" x14ac:dyDescent="0.3">
      <c r="A9" s="34" t="s">
        <v>45</v>
      </c>
      <c r="B9" s="64">
        <v>43598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 t="s">
        <v>36</v>
      </c>
      <c r="U9" s="53" t="s">
        <v>66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s="24" customFormat="1" x14ac:dyDescent="0.3">
      <c r="A10" s="34" t="s">
        <v>45</v>
      </c>
      <c r="B10" s="63">
        <v>43608</v>
      </c>
      <c r="C10" s="52" t="s">
        <v>67</v>
      </c>
      <c r="D10" s="52"/>
      <c r="E10" s="52">
        <v>28.1</v>
      </c>
      <c r="F10" s="52">
        <v>8.1300000000000008</v>
      </c>
      <c r="G10" s="52">
        <v>1144</v>
      </c>
      <c r="H10" s="52">
        <v>-176</v>
      </c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 t="s">
        <v>36</v>
      </c>
      <c r="U10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s="24" customFormat="1" x14ac:dyDescent="0.3">
      <c r="A11" s="29" t="s">
        <v>45</v>
      </c>
      <c r="B11" s="63">
        <v>43612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 t="s">
        <v>36</v>
      </c>
      <c r="U11" s="52" t="s">
        <v>66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s="24" customFormat="1" x14ac:dyDescent="0.3">
      <c r="A12" s="29"/>
      <c r="B12" s="30">
        <v>43633</v>
      </c>
      <c r="C12" s="25" t="s">
        <v>112</v>
      </c>
      <c r="D12" s="25"/>
      <c r="E12" s="25">
        <v>29.6</v>
      </c>
      <c r="F12" s="25">
        <v>7.53</v>
      </c>
      <c r="G12" s="25">
        <v>1221</v>
      </c>
      <c r="H12" s="25">
        <v>10</v>
      </c>
      <c r="I12" s="31"/>
      <c r="J12" s="25"/>
      <c r="K12" s="31"/>
      <c r="L12" s="25"/>
      <c r="M12" s="25"/>
      <c r="N12" s="25"/>
      <c r="O12" s="25"/>
      <c r="P12" s="31"/>
      <c r="Q12" s="41"/>
      <c r="R12" s="32"/>
      <c r="S12" s="35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s="24" customFormat="1" x14ac:dyDescent="0.3">
      <c r="A13" s="29"/>
      <c r="B13" s="30"/>
      <c r="C13" s="25"/>
      <c r="D13" s="25"/>
      <c r="E13" s="25"/>
      <c r="F13" s="25"/>
      <c r="G13" s="25"/>
      <c r="H13" s="25"/>
      <c r="I13" s="31"/>
      <c r="J13" s="25"/>
      <c r="K13" s="31"/>
      <c r="L13" s="25"/>
      <c r="M13" s="25"/>
      <c r="N13" s="25"/>
      <c r="O13" s="25"/>
      <c r="P13" s="31"/>
      <c r="Q13" s="41"/>
      <c r="R13" s="35"/>
      <c r="S13" s="35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3">
      <c r="A14" s="10"/>
      <c r="B14" s="11"/>
      <c r="C14" s="9"/>
      <c r="D14" s="9"/>
      <c r="E14" s="9"/>
      <c r="F14" s="9"/>
      <c r="G14" s="9"/>
      <c r="H14" s="9"/>
      <c r="I14" s="12"/>
      <c r="J14" s="9"/>
      <c r="K14" s="12"/>
      <c r="L14" s="9"/>
      <c r="M14" s="9"/>
      <c r="N14" s="9"/>
      <c r="O14" s="9"/>
      <c r="P14" s="12"/>
      <c r="Q14" s="42"/>
      <c r="R14" s="13"/>
      <c r="S14" s="14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3">
      <c r="A15" s="94" t="s">
        <v>0</v>
      </c>
      <c r="B15" s="94"/>
      <c r="C15" s="94"/>
      <c r="D15" s="15"/>
      <c r="E15" s="15"/>
      <c r="F15" s="15">
        <f t="shared" ref="F15:S15" si="0">COUNT(F5:F14)</f>
        <v>6</v>
      </c>
      <c r="G15" s="48"/>
      <c r="H15" s="15">
        <f t="shared" si="0"/>
        <v>5</v>
      </c>
      <c r="I15" s="15">
        <f t="shared" si="0"/>
        <v>4</v>
      </c>
      <c r="J15" s="15">
        <f t="shared" si="0"/>
        <v>4</v>
      </c>
      <c r="K15" s="15">
        <f t="shared" si="0"/>
        <v>4</v>
      </c>
      <c r="L15" s="15">
        <f t="shared" si="0"/>
        <v>1</v>
      </c>
      <c r="M15" s="15">
        <f t="shared" si="0"/>
        <v>4</v>
      </c>
      <c r="N15" s="15">
        <f t="shared" si="0"/>
        <v>4</v>
      </c>
      <c r="O15" s="15">
        <f t="shared" si="0"/>
        <v>4</v>
      </c>
      <c r="P15" s="15">
        <f t="shared" si="0"/>
        <v>4</v>
      </c>
      <c r="Q15" s="15">
        <f t="shared" si="0"/>
        <v>4</v>
      </c>
      <c r="R15" s="15">
        <f t="shared" si="0"/>
        <v>0</v>
      </c>
      <c r="S15" s="15">
        <f t="shared" si="0"/>
        <v>1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s="6" customFormat="1" x14ac:dyDescent="0.3">
      <c r="A16" s="95" t="s">
        <v>20</v>
      </c>
      <c r="B16" s="95"/>
      <c r="C16" s="95"/>
      <c r="D16" s="16"/>
      <c r="E16" s="16"/>
      <c r="F16" s="16">
        <f>AVERAGE(F5:F14)</f>
        <v>7.8216666666666663</v>
      </c>
      <c r="G16" s="49"/>
      <c r="H16" s="16">
        <f t="shared" ref="H16:S16" si="1">AVERAGE(H5:H14)</f>
        <v>-91.4</v>
      </c>
      <c r="I16" s="16">
        <f t="shared" si="1"/>
        <v>106.375</v>
      </c>
      <c r="J16" s="16">
        <f t="shared" si="1"/>
        <v>247</v>
      </c>
      <c r="K16" s="16">
        <f t="shared" si="1"/>
        <v>70.5</v>
      </c>
      <c r="L16" s="16">
        <f t="shared" si="1"/>
        <v>47.7</v>
      </c>
      <c r="M16" s="16">
        <f t="shared" si="1"/>
        <v>11.297499999999999</v>
      </c>
      <c r="N16" s="16">
        <f t="shared" si="1"/>
        <v>21.25</v>
      </c>
      <c r="O16" s="16">
        <f t="shared" si="1"/>
        <v>242.5</v>
      </c>
      <c r="P16" s="16">
        <f t="shared" si="1"/>
        <v>45.75</v>
      </c>
      <c r="Q16" s="43">
        <f t="shared" si="1"/>
        <v>2752500</v>
      </c>
      <c r="R16" s="16" t="e">
        <f t="shared" si="1"/>
        <v>#DIV/0!</v>
      </c>
      <c r="S16" s="16">
        <f t="shared" si="1"/>
        <v>57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s="4" customFormat="1" x14ac:dyDescent="0.3">
      <c r="A17" s="92" t="s">
        <v>21</v>
      </c>
      <c r="B17" s="92"/>
      <c r="C17" s="92"/>
      <c r="D17" s="17"/>
      <c r="E17" s="17"/>
      <c r="F17" s="17">
        <f>MAX(F5:F14)</f>
        <v>8.1300000000000008</v>
      </c>
      <c r="G17" s="51"/>
      <c r="H17" s="17">
        <f t="shared" ref="H17:S17" si="2">MAX(H5:H14)</f>
        <v>10</v>
      </c>
      <c r="I17" s="17">
        <f t="shared" si="2"/>
        <v>214.5</v>
      </c>
      <c r="J17" s="17">
        <f t="shared" si="2"/>
        <v>270</v>
      </c>
      <c r="K17" s="17">
        <f t="shared" si="2"/>
        <v>98</v>
      </c>
      <c r="L17" s="17">
        <f t="shared" si="2"/>
        <v>47.7</v>
      </c>
      <c r="M17" s="17">
        <f t="shared" si="2"/>
        <v>18.07</v>
      </c>
      <c r="N17" s="17">
        <f t="shared" si="2"/>
        <v>23</v>
      </c>
      <c r="O17" s="17">
        <f t="shared" si="2"/>
        <v>700</v>
      </c>
      <c r="P17" s="17">
        <f t="shared" si="2"/>
        <v>86</v>
      </c>
      <c r="Q17" s="44">
        <f t="shared" si="2"/>
        <v>3670000</v>
      </c>
      <c r="R17" s="17">
        <f t="shared" si="2"/>
        <v>0</v>
      </c>
      <c r="S17" s="17">
        <f t="shared" si="2"/>
        <v>57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s="4" customFormat="1" x14ac:dyDescent="0.3">
      <c r="A18" s="92" t="s">
        <v>22</v>
      </c>
      <c r="B18" s="92"/>
      <c r="C18" s="92"/>
      <c r="D18" s="17"/>
      <c r="E18" s="17"/>
      <c r="F18" s="17">
        <f>MIN(F5:F14)</f>
        <v>7.53</v>
      </c>
      <c r="G18" s="51"/>
      <c r="H18" s="17">
        <f t="shared" ref="H18:S18" si="3">MIN(H5:H14)</f>
        <v>-209</v>
      </c>
      <c r="I18" s="17">
        <f t="shared" si="3"/>
        <v>64.7</v>
      </c>
      <c r="J18" s="17">
        <f t="shared" si="3"/>
        <v>234</v>
      </c>
      <c r="K18" s="17">
        <f t="shared" si="3"/>
        <v>50</v>
      </c>
      <c r="L18" s="17">
        <f t="shared" si="3"/>
        <v>47.7</v>
      </c>
      <c r="M18" s="17">
        <f t="shared" si="3"/>
        <v>4.5199999999999996</v>
      </c>
      <c r="N18" s="17">
        <f t="shared" si="3"/>
        <v>20</v>
      </c>
      <c r="O18" s="17">
        <f t="shared" si="3"/>
        <v>60</v>
      </c>
      <c r="P18" s="17">
        <f t="shared" si="3"/>
        <v>11</v>
      </c>
      <c r="Q18" s="44">
        <f t="shared" si="3"/>
        <v>1000000</v>
      </c>
      <c r="R18" s="17">
        <f t="shared" si="3"/>
        <v>0</v>
      </c>
      <c r="S18" s="17">
        <f t="shared" si="3"/>
        <v>57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s="5" customFormat="1" x14ac:dyDescent="0.3">
      <c r="A19" s="96" t="s">
        <v>1</v>
      </c>
      <c r="B19" s="96"/>
      <c r="C19" s="96"/>
      <c r="D19" s="18"/>
      <c r="E19" s="18"/>
      <c r="F19" s="19">
        <f t="shared" ref="F19:S19" si="4">STDEV(F5:F14)</f>
        <v>0.23387318500988247</v>
      </c>
      <c r="G19" s="19"/>
      <c r="H19" s="19">
        <f t="shared" si="4"/>
        <v>95.839970784636606</v>
      </c>
      <c r="I19" s="19">
        <f t="shared" si="4"/>
        <v>72.230804831918249</v>
      </c>
      <c r="J19" s="19">
        <f t="shared" si="4"/>
        <v>16.30950643030009</v>
      </c>
      <c r="K19" s="19">
        <f t="shared" si="4"/>
        <v>22.278539748675929</v>
      </c>
      <c r="L19" s="19" t="e">
        <f t="shared" si="4"/>
        <v>#DIV/0!</v>
      </c>
      <c r="M19" s="19">
        <f t="shared" si="4"/>
        <v>5.5317650890109222</v>
      </c>
      <c r="N19" s="19">
        <f t="shared" si="4"/>
        <v>1.2583057392117916</v>
      </c>
      <c r="O19" s="19">
        <f t="shared" si="4"/>
        <v>305.98202561588482</v>
      </c>
      <c r="P19" s="19">
        <f t="shared" si="4"/>
        <v>30.88014464560251</v>
      </c>
      <c r="Q19" s="19">
        <f t="shared" si="4"/>
        <v>1259851.181687742</v>
      </c>
      <c r="R19" s="19" t="e">
        <f t="shared" si="4"/>
        <v>#DIV/0!</v>
      </c>
      <c r="S19" s="19" t="e">
        <f t="shared" si="4"/>
        <v>#DIV/0!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s="5" customFormat="1" x14ac:dyDescent="0.3">
      <c r="A20" s="96" t="s">
        <v>2</v>
      </c>
      <c r="B20" s="96"/>
      <c r="C20" s="96"/>
      <c r="D20" s="18"/>
      <c r="E20" s="18"/>
      <c r="F20" s="20">
        <f t="shared" ref="F20:S20" si="5">F19/F16</f>
        <v>2.9900684211789791E-2</v>
      </c>
      <c r="G20" s="20"/>
      <c r="H20" s="20">
        <f t="shared" si="5"/>
        <v>-1.0485773608822384</v>
      </c>
      <c r="I20" s="20">
        <f t="shared" si="5"/>
        <v>0.67902049195692826</v>
      </c>
      <c r="J20" s="20">
        <f t="shared" si="5"/>
        <v>6.6030390406073239E-2</v>
      </c>
      <c r="K20" s="20">
        <f t="shared" si="5"/>
        <v>0.31600765600958763</v>
      </c>
      <c r="L20" s="20" t="e">
        <f t="shared" si="5"/>
        <v>#DIV/0!</v>
      </c>
      <c r="M20" s="20">
        <f t="shared" si="5"/>
        <v>0.48964506209435033</v>
      </c>
      <c r="N20" s="20">
        <f t="shared" si="5"/>
        <v>5.921438772761372E-2</v>
      </c>
      <c r="O20" s="20">
        <f t="shared" si="5"/>
        <v>1.2617815489314839</v>
      </c>
      <c r="P20" s="20">
        <f t="shared" si="5"/>
        <v>0.67497583924814231</v>
      </c>
      <c r="Q20" s="20">
        <f t="shared" si="5"/>
        <v>0.45771160097647301</v>
      </c>
      <c r="R20" s="20" t="e">
        <f t="shared" si="5"/>
        <v>#DIV/0!</v>
      </c>
      <c r="S20" s="20" t="e">
        <f t="shared" si="5"/>
        <v>#DIV/0!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3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8">
    <mergeCell ref="A20:C20"/>
    <mergeCell ref="A21:S21"/>
    <mergeCell ref="A3:S3"/>
    <mergeCell ref="A15:C15"/>
    <mergeCell ref="A16:C16"/>
    <mergeCell ref="A17:C17"/>
    <mergeCell ref="A18:C18"/>
    <mergeCell ref="A19:C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topLeftCell="A3" workbookViewId="0">
      <selection activeCell="A12" sqref="A12"/>
    </sheetView>
  </sheetViews>
  <sheetFormatPr baseColWidth="10" defaultRowHeight="14.4" x14ac:dyDescent="0.3"/>
  <sheetData>
    <row r="1" spans="1:33" s="23" customFormat="1" x14ac:dyDescent="0.3">
      <c r="A1" s="21" t="s">
        <v>27</v>
      </c>
      <c r="B1" s="21"/>
      <c r="C1" s="21"/>
      <c r="D1" s="21"/>
      <c r="E1" s="21"/>
      <c r="F1" s="21"/>
      <c r="G1" s="21"/>
      <c r="H1" s="21"/>
      <c r="I1" s="22"/>
      <c r="J1" s="21"/>
      <c r="K1" s="22"/>
      <c r="L1" s="21"/>
      <c r="M1" s="21"/>
      <c r="N1" s="21"/>
      <c r="O1" s="21"/>
      <c r="P1" s="22"/>
      <c r="Q1" s="39"/>
      <c r="R1" s="21"/>
      <c r="S1" s="21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</row>
    <row r="2" spans="1:33" x14ac:dyDescent="0.3">
      <c r="A2" s="7"/>
      <c r="B2" s="7"/>
      <c r="C2" s="7"/>
      <c r="D2" s="7"/>
      <c r="E2" s="7"/>
      <c r="F2" s="7"/>
      <c r="G2" s="7"/>
      <c r="H2" s="7"/>
      <c r="I2" s="8"/>
      <c r="J2" s="7"/>
      <c r="K2" s="7"/>
      <c r="L2" s="7"/>
      <c r="M2" s="7"/>
      <c r="N2" s="7"/>
      <c r="O2" s="7"/>
      <c r="P2" s="8"/>
      <c r="Q2" s="40"/>
      <c r="R2" s="7"/>
      <c r="S2" s="7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s="24" customFormat="1" x14ac:dyDescent="0.3">
      <c r="A3" s="101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s="24" customFormat="1" ht="52.95" customHeight="1" x14ac:dyDescent="0.3">
      <c r="A4" s="25" t="s">
        <v>3</v>
      </c>
      <c r="B4" s="26" t="s">
        <v>4</v>
      </c>
      <c r="C4" s="25" t="s">
        <v>5</v>
      </c>
      <c r="D4" s="25" t="s">
        <v>25</v>
      </c>
      <c r="E4" s="25" t="s">
        <v>10</v>
      </c>
      <c r="F4" s="27" t="s">
        <v>8</v>
      </c>
      <c r="G4" s="27" t="s">
        <v>47</v>
      </c>
      <c r="H4" s="27" t="s">
        <v>9</v>
      </c>
      <c r="I4" s="28" t="s">
        <v>11</v>
      </c>
      <c r="J4" s="28" t="s">
        <v>12</v>
      </c>
      <c r="K4" s="28" t="s">
        <v>13</v>
      </c>
      <c r="L4" s="28" t="s">
        <v>14</v>
      </c>
      <c r="M4" s="28" t="s">
        <v>15</v>
      </c>
      <c r="N4" s="28" t="s">
        <v>16</v>
      </c>
      <c r="O4" s="28" t="s">
        <v>59</v>
      </c>
      <c r="P4" s="28" t="s">
        <v>17</v>
      </c>
      <c r="Q4" s="27" t="s">
        <v>7</v>
      </c>
      <c r="R4" s="27" t="s">
        <v>18</v>
      </c>
      <c r="S4" s="27" t="s">
        <v>19</v>
      </c>
      <c r="T4" s="62" t="s">
        <v>58</v>
      </c>
      <c r="U4" s="62" t="s">
        <v>37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s="24" customFormat="1" x14ac:dyDescent="0.3">
      <c r="A5" s="29" t="s">
        <v>44</v>
      </c>
      <c r="B5" s="64">
        <v>43564</v>
      </c>
      <c r="C5" s="53" t="s">
        <v>68</v>
      </c>
      <c r="D5" s="53"/>
      <c r="E5" s="53">
        <v>26.8</v>
      </c>
      <c r="F5" s="53">
        <v>8.15</v>
      </c>
      <c r="G5" s="53">
        <v>1107</v>
      </c>
      <c r="H5" s="53"/>
      <c r="I5" s="53">
        <v>73.2</v>
      </c>
      <c r="J5" s="53">
        <v>240</v>
      </c>
      <c r="K5" s="53">
        <v>67</v>
      </c>
      <c r="L5" s="53"/>
      <c r="M5" s="53">
        <v>15.8</v>
      </c>
      <c r="N5" s="53">
        <v>31</v>
      </c>
      <c r="O5" s="84">
        <v>400</v>
      </c>
      <c r="P5" s="84">
        <v>70.8</v>
      </c>
      <c r="Q5" s="70">
        <v>2330000</v>
      </c>
      <c r="R5" s="53"/>
      <c r="S5" s="53"/>
      <c r="T5" s="53" t="s">
        <v>34</v>
      </c>
      <c r="U5" s="53" t="s">
        <v>69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s="24" customFormat="1" ht="28.8" x14ac:dyDescent="0.3">
      <c r="A6" s="34" t="s">
        <v>44</v>
      </c>
      <c r="B6" s="64">
        <v>43571</v>
      </c>
      <c r="C6" s="53" t="s">
        <v>70</v>
      </c>
      <c r="D6" s="53"/>
      <c r="E6" s="53">
        <v>26.6</v>
      </c>
      <c r="F6" s="53">
        <v>8.32</v>
      </c>
      <c r="G6" s="53">
        <v>1866</v>
      </c>
      <c r="H6" s="53">
        <v>-144</v>
      </c>
      <c r="I6" s="53">
        <v>205.25</v>
      </c>
      <c r="J6" s="53">
        <v>272</v>
      </c>
      <c r="K6" s="53">
        <v>79</v>
      </c>
      <c r="L6" s="53">
        <v>34</v>
      </c>
      <c r="M6" s="84">
        <v>29.37</v>
      </c>
      <c r="N6" s="53">
        <v>39</v>
      </c>
      <c r="O6" s="53">
        <v>260</v>
      </c>
      <c r="P6" s="53">
        <v>80</v>
      </c>
      <c r="Q6" s="70">
        <v>5000000</v>
      </c>
      <c r="R6" s="73" t="s">
        <v>71</v>
      </c>
      <c r="S6" s="53">
        <v>157.5</v>
      </c>
      <c r="T6" s="53" t="s">
        <v>34</v>
      </c>
      <c r="U6" s="5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s="24" customFormat="1" x14ac:dyDescent="0.3">
      <c r="A7" s="34" t="s">
        <v>44</v>
      </c>
      <c r="B7" s="64">
        <v>43578</v>
      </c>
      <c r="C7" s="53" t="s">
        <v>72</v>
      </c>
      <c r="D7" s="53"/>
      <c r="E7" s="53">
        <v>27.9</v>
      </c>
      <c r="F7" s="53">
        <v>8.35</v>
      </c>
      <c r="G7" s="53">
        <v>1280</v>
      </c>
      <c r="H7" s="53">
        <v>-177</v>
      </c>
      <c r="I7" s="53">
        <v>92.8</v>
      </c>
      <c r="J7" s="53">
        <v>280</v>
      </c>
      <c r="K7" s="53">
        <v>58</v>
      </c>
      <c r="L7" s="53"/>
      <c r="M7" s="53">
        <v>4.51</v>
      </c>
      <c r="N7" s="53">
        <v>38</v>
      </c>
      <c r="O7" s="53">
        <v>80</v>
      </c>
      <c r="P7" s="53">
        <v>37</v>
      </c>
      <c r="Q7" s="70">
        <v>2330000</v>
      </c>
      <c r="R7" s="53"/>
      <c r="S7" s="53"/>
      <c r="T7" s="53" t="s">
        <v>34</v>
      </c>
      <c r="U7" s="5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s="24" customFormat="1" x14ac:dyDescent="0.3">
      <c r="A8" s="29" t="s">
        <v>45</v>
      </c>
      <c r="B8" s="64">
        <v>43586</v>
      </c>
      <c r="C8" s="53" t="s">
        <v>73</v>
      </c>
      <c r="D8" s="53"/>
      <c r="E8" s="53">
        <v>24.9</v>
      </c>
      <c r="F8" s="53">
        <v>8.3800000000000008</v>
      </c>
      <c r="G8" s="53">
        <v>1272</v>
      </c>
      <c r="H8" s="53">
        <v>-12</v>
      </c>
      <c r="I8" s="53">
        <v>90</v>
      </c>
      <c r="J8" s="53">
        <v>260</v>
      </c>
      <c r="K8" s="53">
        <v>61</v>
      </c>
      <c r="L8" s="53"/>
      <c r="M8" s="53">
        <v>9.0399999999999991</v>
      </c>
      <c r="N8" s="53">
        <v>30</v>
      </c>
      <c r="O8" s="53">
        <v>130</v>
      </c>
      <c r="P8" s="53">
        <v>23.1</v>
      </c>
      <c r="Q8" s="70">
        <v>13300000</v>
      </c>
      <c r="R8" s="53"/>
      <c r="S8" s="53"/>
      <c r="T8" s="53" t="s">
        <v>34</v>
      </c>
      <c r="U8" s="5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s="24" customFormat="1" x14ac:dyDescent="0.3">
      <c r="A9" s="34" t="s">
        <v>45</v>
      </c>
      <c r="B9" s="64">
        <v>43598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 t="s">
        <v>36</v>
      </c>
      <c r="U9" s="53" t="s">
        <v>66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s="24" customFormat="1" x14ac:dyDescent="0.3">
      <c r="A10" s="34" t="s">
        <v>45</v>
      </c>
      <c r="B10" s="63">
        <v>43608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 t="s">
        <v>36</v>
      </c>
      <c r="U10" s="52" t="s">
        <v>66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s="24" customFormat="1" x14ac:dyDescent="0.3">
      <c r="A11" s="29" t="s">
        <v>45</v>
      </c>
      <c r="B11" s="63">
        <v>43612</v>
      </c>
      <c r="C11" s="52" t="s">
        <v>74</v>
      </c>
      <c r="D11" s="52"/>
      <c r="E11" s="52">
        <v>27.9</v>
      </c>
      <c r="F11" s="52">
        <v>8.26</v>
      </c>
      <c r="G11" s="52">
        <v>1165</v>
      </c>
      <c r="H11" s="52">
        <v>-200</v>
      </c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 t="s">
        <v>36</v>
      </c>
      <c r="U11" s="52" t="s">
        <v>75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s="24" customFormat="1" x14ac:dyDescent="0.3">
      <c r="A12" s="29" t="s">
        <v>111</v>
      </c>
      <c r="B12" s="30">
        <v>43633</v>
      </c>
      <c r="C12" s="25" t="s">
        <v>113</v>
      </c>
      <c r="D12" s="25"/>
      <c r="E12" s="25">
        <v>29.3</v>
      </c>
      <c r="F12" s="25">
        <v>8.2799999999999994</v>
      </c>
      <c r="G12" s="25">
        <v>1196</v>
      </c>
      <c r="H12" s="25">
        <v>-106</v>
      </c>
      <c r="I12" s="31"/>
      <c r="J12" s="25"/>
      <c r="K12" s="31"/>
      <c r="L12" s="25"/>
      <c r="M12" s="25"/>
      <c r="N12" s="25"/>
      <c r="O12" s="25"/>
      <c r="P12" s="31"/>
      <c r="Q12" s="41"/>
      <c r="R12" s="32"/>
      <c r="S12" s="35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s="24" customFormat="1" x14ac:dyDescent="0.3">
      <c r="A13" s="29"/>
      <c r="B13" s="30"/>
      <c r="C13" s="25"/>
      <c r="D13" s="25"/>
      <c r="E13" s="25"/>
      <c r="F13" s="25"/>
      <c r="G13" s="25"/>
      <c r="H13" s="25"/>
      <c r="I13" s="31"/>
      <c r="J13" s="25"/>
      <c r="K13" s="31"/>
      <c r="L13" s="25"/>
      <c r="M13" s="25"/>
      <c r="N13" s="25"/>
      <c r="O13" s="25"/>
      <c r="P13" s="31"/>
      <c r="Q13" s="41"/>
      <c r="R13" s="35"/>
      <c r="S13" s="35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3">
      <c r="A14" s="10"/>
      <c r="B14" s="11"/>
      <c r="C14" s="9"/>
      <c r="D14" s="9"/>
      <c r="E14" s="9"/>
      <c r="F14" s="9"/>
      <c r="G14" s="9"/>
      <c r="H14" s="9"/>
      <c r="I14" s="12"/>
      <c r="J14" s="9"/>
      <c r="K14" s="12"/>
      <c r="L14" s="9"/>
      <c r="M14" s="9"/>
      <c r="N14" s="9"/>
      <c r="O14" s="9"/>
      <c r="P14" s="12"/>
      <c r="Q14" s="42"/>
      <c r="R14" s="13"/>
      <c r="S14" s="14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3">
      <c r="A15" s="104" t="s">
        <v>0</v>
      </c>
      <c r="B15" s="105"/>
      <c r="C15" s="106"/>
      <c r="D15" s="15"/>
      <c r="E15" s="15"/>
      <c r="F15" s="15">
        <f t="shared" ref="F15:S15" si="0">COUNT(F5:F14)</f>
        <v>6</v>
      </c>
      <c r="G15" s="48"/>
      <c r="H15" s="15">
        <f t="shared" si="0"/>
        <v>5</v>
      </c>
      <c r="I15" s="15">
        <f t="shared" si="0"/>
        <v>4</v>
      </c>
      <c r="J15" s="15">
        <f t="shared" si="0"/>
        <v>4</v>
      </c>
      <c r="K15" s="15">
        <f t="shared" si="0"/>
        <v>4</v>
      </c>
      <c r="L15" s="15">
        <f t="shared" si="0"/>
        <v>1</v>
      </c>
      <c r="M15" s="15">
        <f t="shared" si="0"/>
        <v>4</v>
      </c>
      <c r="N15" s="15">
        <f t="shared" si="0"/>
        <v>4</v>
      </c>
      <c r="O15" s="15">
        <f t="shared" si="0"/>
        <v>4</v>
      </c>
      <c r="P15" s="15">
        <f t="shared" si="0"/>
        <v>4</v>
      </c>
      <c r="Q15" s="15">
        <f t="shared" si="0"/>
        <v>4</v>
      </c>
      <c r="R15" s="15">
        <f t="shared" si="0"/>
        <v>0</v>
      </c>
      <c r="S15" s="15">
        <f t="shared" si="0"/>
        <v>1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s="6" customFormat="1" x14ac:dyDescent="0.3">
      <c r="A16" s="107" t="s">
        <v>20</v>
      </c>
      <c r="B16" s="108"/>
      <c r="C16" s="109"/>
      <c r="D16" s="16"/>
      <c r="E16" s="16"/>
      <c r="F16" s="16">
        <f>AVERAGE(F5:F14)</f>
        <v>8.2900000000000009</v>
      </c>
      <c r="G16" s="49"/>
      <c r="H16" s="16">
        <f t="shared" ref="H16:S16" si="1">AVERAGE(H5:H14)</f>
        <v>-127.8</v>
      </c>
      <c r="I16" s="16">
        <f t="shared" si="1"/>
        <v>115.3125</v>
      </c>
      <c r="J16" s="16">
        <f t="shared" si="1"/>
        <v>263</v>
      </c>
      <c r="K16" s="16">
        <f t="shared" si="1"/>
        <v>66.25</v>
      </c>
      <c r="L16" s="16">
        <f t="shared" si="1"/>
        <v>34</v>
      </c>
      <c r="M16" s="16">
        <f t="shared" si="1"/>
        <v>14.68</v>
      </c>
      <c r="N16" s="16">
        <f t="shared" si="1"/>
        <v>34.5</v>
      </c>
      <c r="O16" s="16">
        <f t="shared" si="1"/>
        <v>217.5</v>
      </c>
      <c r="P16" s="16">
        <f t="shared" si="1"/>
        <v>52.725000000000001</v>
      </c>
      <c r="Q16" s="43">
        <f t="shared" si="1"/>
        <v>5740000</v>
      </c>
      <c r="R16" s="16" t="e">
        <f t="shared" si="1"/>
        <v>#DIV/0!</v>
      </c>
      <c r="S16" s="16">
        <f t="shared" si="1"/>
        <v>157.5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s="4" customFormat="1" x14ac:dyDescent="0.3">
      <c r="A17" s="110" t="s">
        <v>21</v>
      </c>
      <c r="B17" s="111"/>
      <c r="C17" s="112"/>
      <c r="D17" s="17"/>
      <c r="E17" s="17"/>
      <c r="F17" s="17">
        <f>MAX(F5:F14)</f>
        <v>8.3800000000000008</v>
      </c>
      <c r="G17" s="51"/>
      <c r="H17" s="17">
        <f t="shared" ref="H17:S17" si="2">MAX(H5:H14)</f>
        <v>-12</v>
      </c>
      <c r="I17" s="17">
        <f t="shared" si="2"/>
        <v>205.25</v>
      </c>
      <c r="J17" s="17">
        <f t="shared" si="2"/>
        <v>280</v>
      </c>
      <c r="K17" s="17">
        <f t="shared" si="2"/>
        <v>79</v>
      </c>
      <c r="L17" s="17">
        <f t="shared" si="2"/>
        <v>34</v>
      </c>
      <c r="M17" s="17">
        <f t="shared" si="2"/>
        <v>29.37</v>
      </c>
      <c r="N17" s="17">
        <f t="shared" si="2"/>
        <v>39</v>
      </c>
      <c r="O17" s="17">
        <f t="shared" si="2"/>
        <v>400</v>
      </c>
      <c r="P17" s="17">
        <f t="shared" si="2"/>
        <v>80</v>
      </c>
      <c r="Q17" s="44">
        <f t="shared" si="2"/>
        <v>13300000</v>
      </c>
      <c r="R17" s="17">
        <f t="shared" si="2"/>
        <v>0</v>
      </c>
      <c r="S17" s="17">
        <f t="shared" si="2"/>
        <v>157.5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s="4" customFormat="1" x14ac:dyDescent="0.3">
      <c r="A18" s="110" t="s">
        <v>22</v>
      </c>
      <c r="B18" s="111"/>
      <c r="C18" s="112"/>
      <c r="D18" s="17"/>
      <c r="E18" s="17"/>
      <c r="F18" s="17">
        <f>MIN(F5:F14)</f>
        <v>8.15</v>
      </c>
      <c r="G18" s="51"/>
      <c r="H18" s="17">
        <f t="shared" ref="H18:S18" si="3">MIN(H5:H14)</f>
        <v>-200</v>
      </c>
      <c r="I18" s="17">
        <f t="shared" si="3"/>
        <v>73.2</v>
      </c>
      <c r="J18" s="17">
        <f t="shared" si="3"/>
        <v>240</v>
      </c>
      <c r="K18" s="17">
        <f t="shared" si="3"/>
        <v>58</v>
      </c>
      <c r="L18" s="17">
        <f t="shared" si="3"/>
        <v>34</v>
      </c>
      <c r="M18" s="17">
        <f t="shared" si="3"/>
        <v>4.51</v>
      </c>
      <c r="N18" s="17">
        <f t="shared" si="3"/>
        <v>30</v>
      </c>
      <c r="O18" s="17">
        <f t="shared" si="3"/>
        <v>80</v>
      </c>
      <c r="P18" s="17">
        <f t="shared" si="3"/>
        <v>23.1</v>
      </c>
      <c r="Q18" s="44">
        <f t="shared" si="3"/>
        <v>2330000</v>
      </c>
      <c r="R18" s="17">
        <f t="shared" si="3"/>
        <v>0</v>
      </c>
      <c r="S18" s="17">
        <f t="shared" si="3"/>
        <v>157.5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s="5" customFormat="1" x14ac:dyDescent="0.3">
      <c r="A19" s="97" t="s">
        <v>1</v>
      </c>
      <c r="B19" s="98"/>
      <c r="C19" s="99"/>
      <c r="D19" s="18"/>
      <c r="E19" s="18"/>
      <c r="F19" s="19">
        <f t="shared" ref="F19:S19" si="4">STDEV(F5:F14)</f>
        <v>8.1486195149853502E-2</v>
      </c>
      <c r="G19" s="19"/>
      <c r="H19" s="19">
        <f t="shared" si="4"/>
        <v>73.791598437762559</v>
      </c>
      <c r="I19" s="19">
        <f t="shared" si="4"/>
        <v>60.57984228822874</v>
      </c>
      <c r="J19" s="19">
        <f t="shared" si="4"/>
        <v>17.397317800933184</v>
      </c>
      <c r="K19" s="19">
        <f t="shared" si="4"/>
        <v>9.2870878105033547</v>
      </c>
      <c r="L19" s="19" t="e">
        <f t="shared" si="4"/>
        <v>#DIV/0!</v>
      </c>
      <c r="M19" s="19">
        <f t="shared" si="4"/>
        <v>10.836496973961037</v>
      </c>
      <c r="N19" s="19">
        <f t="shared" si="4"/>
        <v>4.6547466812563139</v>
      </c>
      <c r="O19" s="19">
        <f t="shared" si="4"/>
        <v>143.38177476002079</v>
      </c>
      <c r="P19" s="19">
        <f t="shared" si="4"/>
        <v>27.052710893118757</v>
      </c>
      <c r="Q19" s="19">
        <f t="shared" si="4"/>
        <v>5194785.8473665686</v>
      </c>
      <c r="R19" s="19" t="e">
        <f t="shared" si="4"/>
        <v>#DIV/0!</v>
      </c>
      <c r="S19" s="19" t="e">
        <f t="shared" si="4"/>
        <v>#DIV/0!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s="5" customFormat="1" x14ac:dyDescent="0.3">
      <c r="A20" s="97" t="s">
        <v>2</v>
      </c>
      <c r="B20" s="98"/>
      <c r="C20" s="99"/>
      <c r="D20" s="18"/>
      <c r="E20" s="18"/>
      <c r="F20" s="20">
        <f t="shared" ref="F20:S20" si="5">F19/F16</f>
        <v>9.8294565922621823E-3</v>
      </c>
      <c r="G20" s="20"/>
      <c r="H20" s="20">
        <f t="shared" si="5"/>
        <v>-0.57739904880878368</v>
      </c>
      <c r="I20" s="20">
        <f t="shared" si="5"/>
        <v>0.52535364585997824</v>
      </c>
      <c r="J20" s="20">
        <f t="shared" si="5"/>
        <v>6.6149497341951274E-2</v>
      </c>
      <c r="K20" s="20">
        <f t="shared" si="5"/>
        <v>0.14018245751703176</v>
      </c>
      <c r="L20" s="20" t="e">
        <f t="shared" si="5"/>
        <v>#DIV/0!</v>
      </c>
      <c r="M20" s="20">
        <f t="shared" si="5"/>
        <v>0.7381809927766374</v>
      </c>
      <c r="N20" s="20">
        <f t="shared" si="5"/>
        <v>0.13492019365960331</v>
      </c>
      <c r="O20" s="20">
        <f t="shared" si="5"/>
        <v>0.65922655062078528</v>
      </c>
      <c r="P20" s="20">
        <f t="shared" si="5"/>
        <v>0.51309077085099586</v>
      </c>
      <c r="Q20" s="20">
        <f t="shared" si="5"/>
        <v>0.90501495598720705</v>
      </c>
      <c r="R20" s="20" t="e">
        <f t="shared" si="5"/>
        <v>#DIV/0!</v>
      </c>
      <c r="S20" s="20" t="e">
        <f t="shared" si="5"/>
        <v>#DIV/0!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3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8">
    <mergeCell ref="A20:C20"/>
    <mergeCell ref="A21:S21"/>
    <mergeCell ref="A3:S3"/>
    <mergeCell ref="A15:C15"/>
    <mergeCell ref="A16:C16"/>
    <mergeCell ref="A17:C17"/>
    <mergeCell ref="A18:C18"/>
    <mergeCell ref="A19:C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topLeftCell="A3" workbookViewId="0">
      <selection activeCell="B12" sqref="B12"/>
    </sheetView>
  </sheetViews>
  <sheetFormatPr baseColWidth="10" defaultRowHeight="14.4" x14ac:dyDescent="0.3"/>
  <sheetData>
    <row r="1" spans="1:33" s="23" customFormat="1" x14ac:dyDescent="0.3">
      <c r="A1" s="21" t="s">
        <v>26</v>
      </c>
      <c r="B1" s="21"/>
      <c r="C1" s="21"/>
      <c r="D1" s="21"/>
      <c r="E1" s="21"/>
      <c r="F1" s="21"/>
      <c r="G1" s="21"/>
      <c r="H1" s="21"/>
      <c r="I1" s="22"/>
      <c r="J1" s="21"/>
      <c r="K1" s="22"/>
      <c r="L1" s="21"/>
      <c r="M1" s="21"/>
      <c r="N1" s="21"/>
      <c r="O1" s="21"/>
      <c r="P1" s="22"/>
      <c r="Q1" s="39"/>
      <c r="R1" s="21"/>
      <c r="S1" s="21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</row>
    <row r="2" spans="1:33" x14ac:dyDescent="0.3">
      <c r="A2" s="7"/>
      <c r="B2" s="7"/>
      <c r="C2" s="7"/>
      <c r="D2" s="7"/>
      <c r="E2" s="7"/>
      <c r="F2" s="7"/>
      <c r="G2" s="7"/>
      <c r="H2" s="7"/>
      <c r="I2" s="8"/>
      <c r="J2" s="7"/>
      <c r="K2" s="7"/>
      <c r="L2" s="7"/>
      <c r="M2" s="7"/>
      <c r="N2" s="7"/>
      <c r="O2" s="7"/>
      <c r="P2" s="8"/>
      <c r="Q2" s="40"/>
      <c r="R2" s="7"/>
      <c r="S2" s="7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s="24" customFormat="1" x14ac:dyDescent="0.3">
      <c r="A3" s="101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s="24" customFormat="1" ht="52.95" customHeight="1" x14ac:dyDescent="0.3">
      <c r="A4" s="25" t="s">
        <v>3</v>
      </c>
      <c r="B4" s="26" t="s">
        <v>4</v>
      </c>
      <c r="C4" s="25" t="s">
        <v>5</v>
      </c>
      <c r="D4" s="25" t="s">
        <v>25</v>
      </c>
      <c r="E4" s="25" t="s">
        <v>10</v>
      </c>
      <c r="F4" s="27" t="s">
        <v>8</v>
      </c>
      <c r="G4" s="27" t="s">
        <v>47</v>
      </c>
      <c r="H4" s="27" t="s">
        <v>9</v>
      </c>
      <c r="I4" s="28" t="s">
        <v>11</v>
      </c>
      <c r="J4" s="28" t="s">
        <v>12</v>
      </c>
      <c r="K4" s="28" t="s">
        <v>13</v>
      </c>
      <c r="L4" s="28" t="s">
        <v>14</v>
      </c>
      <c r="M4" s="28" t="s">
        <v>15</v>
      </c>
      <c r="N4" s="28" t="s">
        <v>16</v>
      </c>
      <c r="O4" s="28" t="s">
        <v>60</v>
      </c>
      <c r="P4" s="28" t="s">
        <v>17</v>
      </c>
      <c r="Q4" s="27" t="s">
        <v>7</v>
      </c>
      <c r="R4" s="27" t="s">
        <v>18</v>
      </c>
      <c r="S4" s="27" t="s">
        <v>19</v>
      </c>
      <c r="T4" s="62" t="s">
        <v>58</v>
      </c>
      <c r="U4" s="62" t="s">
        <v>37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s="24" customFormat="1" x14ac:dyDescent="0.3">
      <c r="A5" s="29" t="s">
        <v>44</v>
      </c>
      <c r="B5" s="64">
        <v>43564</v>
      </c>
      <c r="C5" s="53" t="s">
        <v>76</v>
      </c>
      <c r="D5" s="53"/>
      <c r="E5" s="53">
        <v>26.7</v>
      </c>
      <c r="F5" s="53">
        <v>7.98</v>
      </c>
      <c r="G5" s="53">
        <v>1032</v>
      </c>
      <c r="H5" s="53"/>
      <c r="I5" s="53">
        <v>61.9</v>
      </c>
      <c r="J5" s="53">
        <v>207</v>
      </c>
      <c r="K5" s="53">
        <v>53</v>
      </c>
      <c r="L5" s="53"/>
      <c r="M5" s="53">
        <v>18.07</v>
      </c>
      <c r="N5" s="53">
        <v>48</v>
      </c>
      <c r="O5" s="71">
        <v>200</v>
      </c>
      <c r="P5" s="53">
        <v>26.1</v>
      </c>
      <c r="Q5" s="70">
        <v>2000000</v>
      </c>
      <c r="R5" s="53"/>
      <c r="S5" s="53"/>
      <c r="T5" s="53" t="s">
        <v>34</v>
      </c>
      <c r="U5" s="53" t="s">
        <v>77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s="24" customFormat="1" ht="28.8" x14ac:dyDescent="0.3">
      <c r="A6" s="34" t="s">
        <v>44</v>
      </c>
      <c r="B6" s="64">
        <v>43571</v>
      </c>
      <c r="C6" s="53" t="s">
        <v>78</v>
      </c>
      <c r="D6" s="53"/>
      <c r="E6" s="53">
        <v>25.4</v>
      </c>
      <c r="F6" s="53">
        <v>8.23</v>
      </c>
      <c r="G6" s="53">
        <v>1300</v>
      </c>
      <c r="H6" s="53">
        <v>-30</v>
      </c>
      <c r="I6" s="53">
        <v>120</v>
      </c>
      <c r="J6" s="53">
        <v>215</v>
      </c>
      <c r="K6" s="53">
        <v>55</v>
      </c>
      <c r="L6" s="53">
        <v>18.3</v>
      </c>
      <c r="M6" s="84">
        <v>33.880000000000003</v>
      </c>
      <c r="N6" s="53">
        <v>49</v>
      </c>
      <c r="O6" s="53">
        <v>120</v>
      </c>
      <c r="P6" s="53">
        <v>47</v>
      </c>
      <c r="Q6" s="70">
        <v>2670000</v>
      </c>
      <c r="R6" s="73" t="s">
        <v>71</v>
      </c>
      <c r="S6" s="53">
        <v>50</v>
      </c>
      <c r="T6" s="53" t="s">
        <v>34</v>
      </c>
      <c r="U6" s="5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s="24" customFormat="1" x14ac:dyDescent="0.3">
      <c r="A7" s="34" t="s">
        <v>44</v>
      </c>
      <c r="B7" s="64">
        <v>43578</v>
      </c>
      <c r="C7" s="53" t="s">
        <v>79</v>
      </c>
      <c r="D7" s="53"/>
      <c r="E7" s="53">
        <v>26.8</v>
      </c>
      <c r="F7" s="53">
        <v>8.1999999999999993</v>
      </c>
      <c r="G7" s="53">
        <v>1154</v>
      </c>
      <c r="H7" s="53">
        <v>-108</v>
      </c>
      <c r="I7" s="53">
        <v>59.1</v>
      </c>
      <c r="J7" s="53">
        <v>210</v>
      </c>
      <c r="K7" s="53">
        <v>43</v>
      </c>
      <c r="L7" s="53"/>
      <c r="M7" s="53">
        <v>2.2599999999999998</v>
      </c>
      <c r="N7" s="84">
        <v>59</v>
      </c>
      <c r="O7" s="53">
        <v>70</v>
      </c>
      <c r="P7" s="53">
        <v>80</v>
      </c>
      <c r="Q7" s="70">
        <v>2000000</v>
      </c>
      <c r="R7" s="53"/>
      <c r="S7" s="53"/>
      <c r="T7" s="53" t="s">
        <v>34</v>
      </c>
      <c r="U7" s="5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s="24" customFormat="1" x14ac:dyDescent="0.3">
      <c r="A8" s="29" t="s">
        <v>45</v>
      </c>
      <c r="B8" s="64">
        <v>43586</v>
      </c>
      <c r="C8" s="53" t="s">
        <v>80</v>
      </c>
      <c r="D8" s="53"/>
      <c r="E8" s="53">
        <v>25.7</v>
      </c>
      <c r="F8" s="53">
        <v>8.1199999999999992</v>
      </c>
      <c r="G8" s="53">
        <v>1192</v>
      </c>
      <c r="H8" s="53">
        <v>44</v>
      </c>
      <c r="I8" s="53">
        <v>39.4</v>
      </c>
      <c r="J8" s="53">
        <v>184</v>
      </c>
      <c r="K8" s="53">
        <v>28</v>
      </c>
      <c r="L8" s="53"/>
      <c r="M8" s="53">
        <v>6.78</v>
      </c>
      <c r="N8" s="84">
        <v>60</v>
      </c>
      <c r="O8" s="53">
        <v>110</v>
      </c>
      <c r="P8" s="53">
        <v>16.100000000000001</v>
      </c>
      <c r="Q8" s="70">
        <v>1000000</v>
      </c>
      <c r="R8" s="53"/>
      <c r="S8" s="53"/>
      <c r="T8" s="53" t="s">
        <v>34</v>
      </c>
      <c r="U8" s="5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s="24" customFormat="1" x14ac:dyDescent="0.3">
      <c r="A9" s="34" t="s">
        <v>45</v>
      </c>
      <c r="B9" s="64">
        <v>43598</v>
      </c>
      <c r="C9" s="53" t="s">
        <v>81</v>
      </c>
      <c r="D9" s="53"/>
      <c r="E9" s="53">
        <v>28.8</v>
      </c>
      <c r="F9" s="53">
        <v>8.1</v>
      </c>
      <c r="G9" s="53">
        <v>1203</v>
      </c>
      <c r="H9" s="53">
        <v>-185</v>
      </c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 t="s">
        <v>36</v>
      </c>
      <c r="U9" s="53" t="s">
        <v>82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s="24" customFormat="1" x14ac:dyDescent="0.3">
      <c r="A10" s="34" t="s">
        <v>45</v>
      </c>
      <c r="B10" s="63">
        <v>43608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 t="s">
        <v>36</v>
      </c>
      <c r="U10" s="53" t="s">
        <v>66</v>
      </c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s="24" customFormat="1" x14ac:dyDescent="0.3">
      <c r="A11" s="29" t="s">
        <v>45</v>
      </c>
      <c r="B11" s="63">
        <v>43612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 t="s">
        <v>66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s="24" customFormat="1" x14ac:dyDescent="0.3">
      <c r="A12" s="29" t="s">
        <v>111</v>
      </c>
      <c r="B12" s="30">
        <v>43633</v>
      </c>
      <c r="C12" s="25" t="s">
        <v>114</v>
      </c>
      <c r="D12" s="25"/>
      <c r="E12" s="25">
        <v>29.3</v>
      </c>
      <c r="F12" s="25">
        <v>8.17</v>
      </c>
      <c r="G12" s="25">
        <v>1267</v>
      </c>
      <c r="H12" s="25">
        <v>-70</v>
      </c>
      <c r="I12" s="31"/>
      <c r="J12" s="25"/>
      <c r="K12" s="31"/>
      <c r="L12" s="25"/>
      <c r="M12" s="25"/>
      <c r="N12" s="25"/>
      <c r="O12" s="25"/>
      <c r="P12" s="31"/>
      <c r="Q12" s="41"/>
      <c r="R12" s="32"/>
      <c r="S12" s="35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s="24" customFormat="1" x14ac:dyDescent="0.3">
      <c r="A13" s="29"/>
      <c r="B13" s="30"/>
      <c r="C13" s="25"/>
      <c r="D13" s="25"/>
      <c r="E13" s="25"/>
      <c r="F13" s="25"/>
      <c r="G13" s="25"/>
      <c r="H13" s="25"/>
      <c r="I13" s="31"/>
      <c r="J13" s="25"/>
      <c r="K13" s="31"/>
      <c r="L13" s="25"/>
      <c r="M13" s="25"/>
      <c r="N13" s="25"/>
      <c r="O13" s="25"/>
      <c r="P13" s="31"/>
      <c r="Q13" s="41"/>
      <c r="R13" s="35"/>
      <c r="S13" s="35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3">
      <c r="A14" s="10"/>
      <c r="B14" s="11"/>
      <c r="C14" s="9"/>
      <c r="D14" s="9"/>
      <c r="E14" s="9"/>
      <c r="F14" s="9"/>
      <c r="G14" s="9"/>
      <c r="H14" s="9"/>
      <c r="I14" s="12"/>
      <c r="J14" s="9"/>
      <c r="K14" s="12"/>
      <c r="L14" s="9"/>
      <c r="M14" s="9"/>
      <c r="N14" s="9"/>
      <c r="O14" s="9"/>
      <c r="P14" s="12"/>
      <c r="Q14" s="42"/>
      <c r="R14" s="13"/>
      <c r="S14" s="14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3">
      <c r="A15" s="104" t="s">
        <v>0</v>
      </c>
      <c r="B15" s="105"/>
      <c r="C15" s="106"/>
      <c r="D15" s="15"/>
      <c r="E15" s="15"/>
      <c r="F15" s="15">
        <f t="shared" ref="F15:S15" si="0">COUNT(F5:F14)</f>
        <v>6</v>
      </c>
      <c r="G15" s="48"/>
      <c r="H15" s="15">
        <f t="shared" si="0"/>
        <v>5</v>
      </c>
      <c r="I15" s="15">
        <f t="shared" si="0"/>
        <v>4</v>
      </c>
      <c r="J15" s="15">
        <f t="shared" si="0"/>
        <v>4</v>
      </c>
      <c r="K15" s="15">
        <f t="shared" si="0"/>
        <v>4</v>
      </c>
      <c r="L15" s="15">
        <f t="shared" si="0"/>
        <v>1</v>
      </c>
      <c r="M15" s="15">
        <f t="shared" si="0"/>
        <v>4</v>
      </c>
      <c r="N15" s="15">
        <f t="shared" si="0"/>
        <v>4</v>
      </c>
      <c r="O15" s="15">
        <f t="shared" si="0"/>
        <v>4</v>
      </c>
      <c r="P15" s="15">
        <f t="shared" si="0"/>
        <v>4</v>
      </c>
      <c r="Q15" s="15">
        <f t="shared" si="0"/>
        <v>4</v>
      </c>
      <c r="R15" s="15">
        <f t="shared" si="0"/>
        <v>0</v>
      </c>
      <c r="S15" s="15">
        <f t="shared" si="0"/>
        <v>1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s="6" customFormat="1" x14ac:dyDescent="0.3">
      <c r="A16" s="107" t="s">
        <v>20</v>
      </c>
      <c r="B16" s="108"/>
      <c r="C16" s="109"/>
      <c r="D16" s="16"/>
      <c r="E16" s="16"/>
      <c r="F16" s="16">
        <f>AVERAGE(F5:F14)</f>
        <v>8.1333333333333346</v>
      </c>
      <c r="G16" s="49"/>
      <c r="H16" s="16">
        <f t="shared" ref="H16:S16" si="1">AVERAGE(H5:H14)</f>
        <v>-69.8</v>
      </c>
      <c r="I16" s="16">
        <f t="shared" si="1"/>
        <v>70.099999999999994</v>
      </c>
      <c r="J16" s="16">
        <f t="shared" si="1"/>
        <v>204</v>
      </c>
      <c r="K16" s="16">
        <f t="shared" si="1"/>
        <v>44.75</v>
      </c>
      <c r="L16" s="16">
        <f t="shared" si="1"/>
        <v>18.3</v>
      </c>
      <c r="M16" s="16">
        <f t="shared" si="1"/>
        <v>15.2475</v>
      </c>
      <c r="N16" s="16">
        <f t="shared" si="1"/>
        <v>54</v>
      </c>
      <c r="O16" s="16">
        <f t="shared" si="1"/>
        <v>125</v>
      </c>
      <c r="P16" s="16">
        <f t="shared" si="1"/>
        <v>42.3</v>
      </c>
      <c r="Q16" s="43">
        <f t="shared" si="1"/>
        <v>1917500</v>
      </c>
      <c r="R16" s="16" t="e">
        <f t="shared" si="1"/>
        <v>#DIV/0!</v>
      </c>
      <c r="S16" s="16">
        <f t="shared" si="1"/>
        <v>50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s="4" customFormat="1" x14ac:dyDescent="0.3">
      <c r="A17" s="110" t="s">
        <v>21</v>
      </c>
      <c r="B17" s="111"/>
      <c r="C17" s="112"/>
      <c r="D17" s="17"/>
      <c r="E17" s="17"/>
      <c r="F17" s="17">
        <f>MAX(F5:F14)</f>
        <v>8.23</v>
      </c>
      <c r="G17" s="51"/>
      <c r="H17" s="17">
        <f t="shared" ref="H17:S17" si="2">MAX(H5:H14)</f>
        <v>44</v>
      </c>
      <c r="I17" s="17">
        <f t="shared" si="2"/>
        <v>120</v>
      </c>
      <c r="J17" s="17">
        <f t="shared" si="2"/>
        <v>215</v>
      </c>
      <c r="K17" s="17">
        <f t="shared" si="2"/>
        <v>55</v>
      </c>
      <c r="L17" s="17">
        <f t="shared" si="2"/>
        <v>18.3</v>
      </c>
      <c r="M17" s="17">
        <f t="shared" si="2"/>
        <v>33.880000000000003</v>
      </c>
      <c r="N17" s="17">
        <f t="shared" si="2"/>
        <v>60</v>
      </c>
      <c r="O17" s="17">
        <f t="shared" si="2"/>
        <v>200</v>
      </c>
      <c r="P17" s="17">
        <f t="shared" si="2"/>
        <v>80</v>
      </c>
      <c r="Q17" s="44">
        <f t="shared" si="2"/>
        <v>2670000</v>
      </c>
      <c r="R17" s="17">
        <f t="shared" si="2"/>
        <v>0</v>
      </c>
      <c r="S17" s="17">
        <f t="shared" si="2"/>
        <v>50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s="4" customFormat="1" x14ac:dyDescent="0.3">
      <c r="A18" s="110" t="s">
        <v>22</v>
      </c>
      <c r="B18" s="111"/>
      <c r="C18" s="112"/>
      <c r="D18" s="17"/>
      <c r="E18" s="17"/>
      <c r="F18" s="17">
        <f>MIN(F5:F14)</f>
        <v>7.98</v>
      </c>
      <c r="G18" s="51"/>
      <c r="H18" s="17">
        <f t="shared" ref="H18:S18" si="3">MIN(H5:H14)</f>
        <v>-185</v>
      </c>
      <c r="I18" s="17">
        <f t="shared" si="3"/>
        <v>39.4</v>
      </c>
      <c r="J18" s="17">
        <f t="shared" si="3"/>
        <v>184</v>
      </c>
      <c r="K18" s="17">
        <f t="shared" si="3"/>
        <v>28</v>
      </c>
      <c r="L18" s="17">
        <f t="shared" si="3"/>
        <v>18.3</v>
      </c>
      <c r="M18" s="17">
        <f t="shared" si="3"/>
        <v>2.2599999999999998</v>
      </c>
      <c r="N18" s="17">
        <f t="shared" si="3"/>
        <v>48</v>
      </c>
      <c r="O18" s="17">
        <f t="shared" si="3"/>
        <v>70</v>
      </c>
      <c r="P18" s="17">
        <f t="shared" si="3"/>
        <v>16.100000000000001</v>
      </c>
      <c r="Q18" s="44">
        <f t="shared" si="3"/>
        <v>1000000</v>
      </c>
      <c r="R18" s="17">
        <f t="shared" si="3"/>
        <v>0</v>
      </c>
      <c r="S18" s="17">
        <f t="shared" si="3"/>
        <v>50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s="5" customFormat="1" x14ac:dyDescent="0.3">
      <c r="A19" s="97" t="s">
        <v>1</v>
      </c>
      <c r="B19" s="98"/>
      <c r="C19" s="99"/>
      <c r="D19" s="18"/>
      <c r="E19" s="18"/>
      <c r="F19" s="19">
        <f t="shared" ref="F19:S19" si="4">STDEV(F5:F14)</f>
        <v>8.9368152418334387E-2</v>
      </c>
      <c r="G19" s="19"/>
      <c r="H19" s="19">
        <f t="shared" si="4"/>
        <v>85.534788244316118</v>
      </c>
      <c r="I19" s="19">
        <f t="shared" si="4"/>
        <v>34.740658216754255</v>
      </c>
      <c r="J19" s="19">
        <f t="shared" si="4"/>
        <v>13.73559851869101</v>
      </c>
      <c r="K19" s="19">
        <f t="shared" si="4"/>
        <v>12.338962679253067</v>
      </c>
      <c r="L19" s="19" t="e">
        <f t="shared" si="4"/>
        <v>#DIV/0!</v>
      </c>
      <c r="M19" s="19">
        <f t="shared" si="4"/>
        <v>14.089124351782832</v>
      </c>
      <c r="N19" s="19">
        <f t="shared" si="4"/>
        <v>6.3770421565696633</v>
      </c>
      <c r="O19" s="19">
        <f t="shared" si="4"/>
        <v>54.467115461227301</v>
      </c>
      <c r="P19" s="19">
        <f t="shared" si="4"/>
        <v>28.238626028898782</v>
      </c>
      <c r="Q19" s="19">
        <f t="shared" si="4"/>
        <v>688397.89850541134</v>
      </c>
      <c r="R19" s="19" t="e">
        <f t="shared" si="4"/>
        <v>#DIV/0!</v>
      </c>
      <c r="S19" s="19" t="e">
        <f t="shared" si="4"/>
        <v>#DIV/0!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s="5" customFormat="1" x14ac:dyDescent="0.3">
      <c r="A20" s="97" t="s">
        <v>2</v>
      </c>
      <c r="B20" s="98"/>
      <c r="C20" s="99"/>
      <c r="D20" s="18"/>
      <c r="E20" s="18"/>
      <c r="F20" s="20">
        <f t="shared" ref="F20:S20" si="5">F19/F16</f>
        <v>1.0987887592418161E-2</v>
      </c>
      <c r="G20" s="20"/>
      <c r="H20" s="20">
        <f t="shared" si="5"/>
        <v>-1.2254267656778814</v>
      </c>
      <c r="I20" s="20">
        <f t="shared" si="5"/>
        <v>0.49558713575968982</v>
      </c>
      <c r="J20" s="20">
        <f t="shared" si="5"/>
        <v>6.7331365287701034E-2</v>
      </c>
      <c r="K20" s="20">
        <f t="shared" si="5"/>
        <v>0.27573100959224728</v>
      </c>
      <c r="L20" s="20" t="e">
        <f t="shared" si="5"/>
        <v>#DIV/0!</v>
      </c>
      <c r="M20" s="20">
        <f t="shared" si="5"/>
        <v>0.92402848675407978</v>
      </c>
      <c r="N20" s="20">
        <f t="shared" si="5"/>
        <v>0.11809337326980858</v>
      </c>
      <c r="O20" s="20">
        <f t="shared" si="5"/>
        <v>0.43573692368981842</v>
      </c>
      <c r="P20" s="20">
        <f t="shared" si="5"/>
        <v>0.66757981155789092</v>
      </c>
      <c r="Q20" s="20">
        <f t="shared" si="5"/>
        <v>0.35900803051129665</v>
      </c>
      <c r="R20" s="20" t="e">
        <f t="shared" si="5"/>
        <v>#DIV/0!</v>
      </c>
      <c r="S20" s="20" t="e">
        <f t="shared" si="5"/>
        <v>#DIV/0!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3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8">
    <mergeCell ref="A20:C20"/>
    <mergeCell ref="A21:S21"/>
    <mergeCell ref="A3:S3"/>
    <mergeCell ref="A15:C15"/>
    <mergeCell ref="A16:C16"/>
    <mergeCell ref="A17:C17"/>
    <mergeCell ref="A18:C18"/>
    <mergeCell ref="A19:C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workbookViewId="0">
      <selection activeCell="A12" sqref="A12"/>
    </sheetView>
  </sheetViews>
  <sheetFormatPr baseColWidth="10" defaultRowHeight="14.4" x14ac:dyDescent="0.3"/>
  <cols>
    <col min="9" max="9" width="12.109375" bestFit="1" customWidth="1"/>
    <col min="10" max="10" width="11.6640625" bestFit="1" customWidth="1"/>
    <col min="11" max="11" width="12.109375" bestFit="1" customWidth="1"/>
    <col min="12" max="15" width="11.6640625" bestFit="1" customWidth="1"/>
    <col min="16" max="16" width="12.109375" bestFit="1" customWidth="1"/>
    <col min="17" max="17" width="11.6640625" bestFit="1" customWidth="1"/>
    <col min="19" max="19" width="11.6640625" bestFit="1" customWidth="1"/>
  </cols>
  <sheetData>
    <row r="1" spans="1:33" s="23" customFormat="1" x14ac:dyDescent="0.3">
      <c r="A1" s="21" t="s">
        <v>83</v>
      </c>
      <c r="B1" s="21"/>
      <c r="C1" s="21"/>
      <c r="D1" s="21"/>
      <c r="E1" s="21"/>
      <c r="F1" s="21"/>
      <c r="G1" s="21"/>
      <c r="H1" s="21"/>
      <c r="I1" s="22"/>
      <c r="J1" s="21"/>
      <c r="K1" s="22"/>
      <c r="L1" s="21"/>
      <c r="M1" s="21"/>
      <c r="N1" s="21"/>
      <c r="O1" s="21"/>
      <c r="P1" s="22"/>
      <c r="Q1" s="39"/>
      <c r="R1" s="21"/>
      <c r="S1" s="21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</row>
    <row r="2" spans="1:33" x14ac:dyDescent="0.3">
      <c r="A2" s="7"/>
      <c r="B2" s="7"/>
      <c r="C2" s="7"/>
      <c r="D2" s="7"/>
      <c r="E2" s="7"/>
      <c r="F2" s="7"/>
      <c r="G2" s="7"/>
      <c r="H2" s="7"/>
      <c r="I2" s="8"/>
      <c r="J2" s="7"/>
      <c r="K2" s="7"/>
      <c r="L2" s="7"/>
      <c r="M2" s="7"/>
      <c r="N2" s="7"/>
      <c r="O2" s="7"/>
      <c r="P2" s="8"/>
      <c r="Q2" s="40"/>
      <c r="R2" s="7"/>
      <c r="S2" s="7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s="24" customFormat="1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s="24" customFormat="1" ht="52.95" customHeight="1" x14ac:dyDescent="0.3">
      <c r="A4" s="25" t="s">
        <v>3</v>
      </c>
      <c r="B4" s="26" t="s">
        <v>4</v>
      </c>
      <c r="C4" s="25" t="s">
        <v>5</v>
      </c>
      <c r="D4" s="25" t="s">
        <v>25</v>
      </c>
      <c r="E4" s="25" t="s">
        <v>10</v>
      </c>
      <c r="F4" s="27" t="s">
        <v>8</v>
      </c>
      <c r="G4" s="27" t="s">
        <v>47</v>
      </c>
      <c r="H4" s="27" t="s">
        <v>9</v>
      </c>
      <c r="I4" s="28" t="s">
        <v>11</v>
      </c>
      <c r="J4" s="28" t="s">
        <v>12</v>
      </c>
      <c r="K4" s="28" t="s">
        <v>13</v>
      </c>
      <c r="L4" s="28" t="s">
        <v>14</v>
      </c>
      <c r="M4" s="28" t="s">
        <v>15</v>
      </c>
      <c r="N4" s="28" t="s">
        <v>16</v>
      </c>
      <c r="O4" s="28" t="s">
        <v>59</v>
      </c>
      <c r="P4" s="28" t="s">
        <v>17</v>
      </c>
      <c r="Q4" s="27" t="s">
        <v>7</v>
      </c>
      <c r="R4" s="27" t="s">
        <v>18</v>
      </c>
      <c r="S4" s="27" t="s">
        <v>19</v>
      </c>
      <c r="T4" s="62" t="s">
        <v>58</v>
      </c>
      <c r="U4" s="62" t="s">
        <v>37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s="24" customFormat="1" x14ac:dyDescent="0.3">
      <c r="A5" s="29" t="s">
        <v>44</v>
      </c>
      <c r="B5" s="64">
        <v>43564</v>
      </c>
      <c r="C5" s="77"/>
      <c r="D5" s="77"/>
      <c r="E5" s="77"/>
      <c r="F5" s="76"/>
      <c r="G5" s="76"/>
      <c r="H5" s="76"/>
      <c r="I5" s="78">
        <v>71.266666666666666</v>
      </c>
      <c r="J5" s="76">
        <v>239</v>
      </c>
      <c r="K5" s="78">
        <v>72.666666666666671</v>
      </c>
      <c r="L5" s="76"/>
      <c r="M5" s="76">
        <v>66.666666666666671</v>
      </c>
      <c r="N5" s="76">
        <v>443.33333333333331</v>
      </c>
      <c r="O5" s="76">
        <v>230</v>
      </c>
      <c r="P5" s="78">
        <v>338.33333333333331</v>
      </c>
      <c r="Q5" s="81">
        <v>2733333.3333333335</v>
      </c>
      <c r="R5" s="76"/>
      <c r="S5" s="79"/>
      <c r="T5" s="80" t="s">
        <v>34</v>
      </c>
      <c r="U5" s="80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s="24" customFormat="1" x14ac:dyDescent="0.3">
      <c r="A6" s="34" t="s">
        <v>44</v>
      </c>
      <c r="B6" s="64">
        <v>43571</v>
      </c>
      <c r="C6" s="77"/>
      <c r="D6" s="77"/>
      <c r="E6" s="77"/>
      <c r="F6" s="76"/>
      <c r="G6" s="76"/>
      <c r="H6" s="76"/>
      <c r="I6" s="78">
        <v>179.91666666666666</v>
      </c>
      <c r="J6" s="76">
        <v>253</v>
      </c>
      <c r="K6" s="78">
        <v>71</v>
      </c>
      <c r="L6" s="77">
        <v>43.766666666666673</v>
      </c>
      <c r="M6" s="77">
        <f>AVERAGE(SFV1a!M6,SFV1b!M6,SFV1c!M6)</f>
        <v>24.850000000000005</v>
      </c>
      <c r="N6" s="76">
        <v>36.333333333333336</v>
      </c>
      <c r="O6" s="76">
        <v>213.33333333333334</v>
      </c>
      <c r="P6" s="78">
        <v>55.666666666666664</v>
      </c>
      <c r="Q6" s="81">
        <v>3446666.6666666665</v>
      </c>
      <c r="R6" s="76"/>
      <c r="S6" s="79">
        <v>88.166666666666671</v>
      </c>
      <c r="T6" s="80" t="s">
        <v>34</v>
      </c>
      <c r="U6" s="80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s="24" customFormat="1" x14ac:dyDescent="0.3">
      <c r="A7" s="34" t="s">
        <v>44</v>
      </c>
      <c r="B7" s="64">
        <v>43578</v>
      </c>
      <c r="C7" s="77"/>
      <c r="D7" s="77"/>
      <c r="E7" s="77"/>
      <c r="F7" s="77"/>
      <c r="G7" s="77"/>
      <c r="H7" s="77"/>
      <c r="I7" s="78">
        <v>75.966666666666669</v>
      </c>
      <c r="J7" s="77">
        <v>241.33333333333334</v>
      </c>
      <c r="K7" s="78">
        <v>52</v>
      </c>
      <c r="L7" s="77"/>
      <c r="M7" s="77">
        <f>AVERAGE(SFV1a!M7,SFV1b!M7,SFV1c!M7)</f>
        <v>8.2799999999999994</v>
      </c>
      <c r="N7" s="77">
        <v>40</v>
      </c>
      <c r="O7" s="77">
        <v>90</v>
      </c>
      <c r="P7" s="78">
        <v>67.666666666666671</v>
      </c>
      <c r="Q7" s="81">
        <v>2666666.6666666665</v>
      </c>
      <c r="R7" s="76"/>
      <c r="S7" s="79"/>
      <c r="T7" s="80" t="s">
        <v>34</v>
      </c>
      <c r="U7" s="80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s="24" customFormat="1" x14ac:dyDescent="0.3">
      <c r="A8" s="29" t="s">
        <v>45</v>
      </c>
      <c r="B8" s="64">
        <v>43586</v>
      </c>
      <c r="C8" s="77"/>
      <c r="D8" s="77"/>
      <c r="E8" s="77"/>
      <c r="F8" s="77"/>
      <c r="G8" s="77"/>
      <c r="H8" s="77"/>
      <c r="I8" s="78">
        <v>64.7</v>
      </c>
      <c r="J8" s="77">
        <v>230.33333333333334</v>
      </c>
      <c r="K8" s="78">
        <v>46.333333333333336</v>
      </c>
      <c r="L8" s="77"/>
      <c r="M8" s="77">
        <f>AVERAGE(SFV1a!M8,SFV1b!M8,SFV1c!M8)</f>
        <v>6.78</v>
      </c>
      <c r="N8" s="77">
        <v>36.666666666666664</v>
      </c>
      <c r="O8" s="77">
        <v>100</v>
      </c>
      <c r="P8" s="78">
        <v>16.733333333333334</v>
      </c>
      <c r="Q8" s="81">
        <v>5100000</v>
      </c>
      <c r="R8" s="77"/>
      <c r="S8" s="79"/>
      <c r="T8" s="80" t="s">
        <v>34</v>
      </c>
      <c r="U8" s="80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s="24" customFormat="1" x14ac:dyDescent="0.3">
      <c r="A9" s="34" t="s">
        <v>45</v>
      </c>
      <c r="B9" s="64">
        <v>43598</v>
      </c>
      <c r="C9" s="77"/>
      <c r="D9" s="77"/>
      <c r="E9" s="77"/>
      <c r="F9" s="77"/>
      <c r="G9" s="77"/>
      <c r="H9" s="77"/>
      <c r="I9" s="78"/>
      <c r="J9" s="77"/>
      <c r="K9" s="78"/>
      <c r="L9" s="77"/>
      <c r="M9" s="77"/>
      <c r="N9" s="77"/>
      <c r="O9" s="77"/>
      <c r="P9" s="78"/>
      <c r="Q9" s="77"/>
      <c r="R9" s="77"/>
      <c r="S9" s="79"/>
      <c r="T9" s="80" t="s">
        <v>36</v>
      </c>
      <c r="U9" s="80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s="24" customFormat="1" x14ac:dyDescent="0.3">
      <c r="A10" s="34" t="s">
        <v>45</v>
      </c>
      <c r="B10" s="63">
        <v>43608</v>
      </c>
      <c r="C10" s="77"/>
      <c r="D10" s="77"/>
      <c r="E10" s="77"/>
      <c r="F10" s="77"/>
      <c r="G10" s="77"/>
      <c r="H10" s="77"/>
      <c r="I10" s="78"/>
      <c r="J10" s="77"/>
      <c r="K10" s="78"/>
      <c r="L10" s="77"/>
      <c r="M10" s="77"/>
      <c r="N10" s="77"/>
      <c r="O10" s="77"/>
      <c r="P10" s="78"/>
      <c r="Q10" s="77"/>
      <c r="R10" s="77"/>
      <c r="S10" s="79"/>
      <c r="T10" s="80"/>
      <c r="U10" s="80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s="24" customFormat="1" x14ac:dyDescent="0.3">
      <c r="A11" s="29" t="s">
        <v>45</v>
      </c>
      <c r="B11" s="63">
        <v>43612</v>
      </c>
      <c r="C11" s="77"/>
      <c r="D11" s="77"/>
      <c r="E11" s="77"/>
      <c r="F11" s="77"/>
      <c r="G11" s="77"/>
      <c r="H11" s="77"/>
      <c r="I11" s="78"/>
      <c r="J11" s="77"/>
      <c r="K11" s="78"/>
      <c r="L11" s="77"/>
      <c r="M11" s="77"/>
      <c r="N11" s="77"/>
      <c r="O11" s="77"/>
      <c r="P11" s="78"/>
      <c r="Q11" s="77"/>
      <c r="R11" s="79"/>
      <c r="S11" s="77"/>
      <c r="T11" s="80"/>
      <c r="U11" s="80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s="24" customFormat="1" x14ac:dyDescent="0.3">
      <c r="A12" s="29" t="s">
        <v>111</v>
      </c>
      <c r="B12" s="30">
        <v>43633</v>
      </c>
      <c r="C12" s="77"/>
      <c r="D12" s="77"/>
      <c r="E12" s="77"/>
      <c r="F12" s="77"/>
      <c r="G12" s="77"/>
      <c r="H12" s="77"/>
      <c r="I12" s="78"/>
      <c r="J12" s="77"/>
      <c r="K12" s="78"/>
      <c r="L12" s="77"/>
      <c r="M12" s="77"/>
      <c r="N12" s="77"/>
      <c r="O12" s="77"/>
      <c r="P12" s="78"/>
      <c r="Q12" s="77"/>
      <c r="R12" s="79"/>
      <c r="S12" s="77"/>
      <c r="T12" s="80"/>
      <c r="U12" s="80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s="24" customFormat="1" x14ac:dyDescent="0.3">
      <c r="A13" s="29"/>
      <c r="B13" s="76"/>
      <c r="C13" s="77"/>
      <c r="D13" s="77"/>
      <c r="E13" s="77"/>
      <c r="F13" s="77"/>
      <c r="G13" s="77"/>
      <c r="H13" s="77"/>
      <c r="I13" s="78"/>
      <c r="J13" s="77"/>
      <c r="K13" s="78"/>
      <c r="L13" s="77"/>
      <c r="M13" s="77"/>
      <c r="N13" s="77"/>
      <c r="O13" s="77"/>
      <c r="P13" s="78"/>
      <c r="Q13" s="77"/>
      <c r="R13" s="77"/>
      <c r="S13" s="77"/>
      <c r="T13" s="80"/>
      <c r="U13" s="80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3">
      <c r="A14" s="10"/>
      <c r="B14" s="11"/>
      <c r="C14" s="9"/>
      <c r="D14" s="9"/>
      <c r="E14" s="9"/>
      <c r="F14" s="9"/>
      <c r="G14" s="9"/>
      <c r="H14" s="9"/>
      <c r="I14" s="12"/>
      <c r="J14" s="9"/>
      <c r="K14" s="12"/>
      <c r="L14" s="9"/>
      <c r="M14" s="9"/>
      <c r="N14" s="9"/>
      <c r="O14" s="9"/>
      <c r="P14" s="12"/>
      <c r="Q14" s="42"/>
      <c r="R14" s="13"/>
      <c r="S14" s="14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3">
      <c r="A15" s="94" t="s">
        <v>0</v>
      </c>
      <c r="B15" s="94"/>
      <c r="C15" s="94"/>
      <c r="D15" s="15"/>
      <c r="E15" s="15"/>
      <c r="F15" s="15">
        <f t="shared" ref="F15:S15" si="0">COUNT(F5:F14)</f>
        <v>0</v>
      </c>
      <c r="G15" s="48"/>
      <c r="H15" s="15">
        <f t="shared" si="0"/>
        <v>0</v>
      </c>
      <c r="I15" s="15">
        <f t="shared" si="0"/>
        <v>4</v>
      </c>
      <c r="J15" s="15">
        <f t="shared" si="0"/>
        <v>4</v>
      </c>
      <c r="K15" s="15">
        <f t="shared" si="0"/>
        <v>4</v>
      </c>
      <c r="L15" s="15">
        <f t="shared" si="0"/>
        <v>1</v>
      </c>
      <c r="M15" s="15">
        <f t="shared" si="0"/>
        <v>4</v>
      </c>
      <c r="N15" s="15">
        <f t="shared" si="0"/>
        <v>4</v>
      </c>
      <c r="O15" s="15">
        <f t="shared" si="0"/>
        <v>4</v>
      </c>
      <c r="P15" s="15">
        <f t="shared" si="0"/>
        <v>4</v>
      </c>
      <c r="Q15" s="15">
        <f t="shared" si="0"/>
        <v>4</v>
      </c>
      <c r="R15" s="15">
        <f t="shared" si="0"/>
        <v>0</v>
      </c>
      <c r="S15" s="15">
        <f t="shared" si="0"/>
        <v>1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s="6" customFormat="1" x14ac:dyDescent="0.3">
      <c r="A16" s="95" t="s">
        <v>20</v>
      </c>
      <c r="B16" s="95"/>
      <c r="C16" s="95"/>
      <c r="D16" s="16"/>
      <c r="E16" s="16"/>
      <c r="F16" s="16" t="e">
        <f>AVERAGE(F5:F14)</f>
        <v>#DIV/0!</v>
      </c>
      <c r="G16" s="49"/>
      <c r="H16" s="16" t="e">
        <f t="shared" ref="H16:S16" si="1">AVERAGE(H5:H14)</f>
        <v>#DIV/0!</v>
      </c>
      <c r="I16" s="16">
        <f t="shared" si="1"/>
        <v>97.962499999999991</v>
      </c>
      <c r="J16" s="16">
        <f t="shared" si="1"/>
        <v>240.91666666666669</v>
      </c>
      <c r="K16" s="16">
        <f t="shared" si="1"/>
        <v>60.500000000000007</v>
      </c>
      <c r="L16" s="16">
        <f t="shared" si="1"/>
        <v>43.766666666666673</v>
      </c>
      <c r="M16" s="16">
        <f t="shared" si="1"/>
        <v>26.644166666666671</v>
      </c>
      <c r="N16" s="16">
        <f t="shared" si="1"/>
        <v>139.08333333333331</v>
      </c>
      <c r="O16" s="16">
        <f t="shared" si="1"/>
        <v>158.33333333333334</v>
      </c>
      <c r="P16" s="16">
        <f t="shared" si="1"/>
        <v>119.60000000000001</v>
      </c>
      <c r="Q16" s="43">
        <f t="shared" si="1"/>
        <v>3486666.6666666665</v>
      </c>
      <c r="R16" s="16" t="e">
        <f t="shared" si="1"/>
        <v>#DIV/0!</v>
      </c>
      <c r="S16" s="16">
        <f t="shared" si="1"/>
        <v>88.166666666666671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s="4" customFormat="1" x14ac:dyDescent="0.3">
      <c r="A17" s="92" t="s">
        <v>21</v>
      </c>
      <c r="B17" s="92"/>
      <c r="C17" s="92"/>
      <c r="D17" s="17"/>
      <c r="E17" s="17"/>
      <c r="F17" s="17">
        <f>MAX(F5:F14)</f>
        <v>0</v>
      </c>
      <c r="G17" s="51"/>
      <c r="H17" s="17">
        <f t="shared" ref="H17:S17" si="2">MAX(H5:H14)</f>
        <v>0</v>
      </c>
      <c r="I17" s="17">
        <f t="shared" si="2"/>
        <v>179.91666666666666</v>
      </c>
      <c r="J17" s="17">
        <f t="shared" si="2"/>
        <v>253</v>
      </c>
      <c r="K17" s="17">
        <f t="shared" si="2"/>
        <v>72.666666666666671</v>
      </c>
      <c r="L17" s="17">
        <f t="shared" si="2"/>
        <v>43.766666666666673</v>
      </c>
      <c r="M17" s="17">
        <f t="shared" si="2"/>
        <v>66.666666666666671</v>
      </c>
      <c r="N17" s="17">
        <f t="shared" si="2"/>
        <v>443.33333333333331</v>
      </c>
      <c r="O17" s="17">
        <f t="shared" si="2"/>
        <v>230</v>
      </c>
      <c r="P17" s="17">
        <f t="shared" si="2"/>
        <v>338.33333333333331</v>
      </c>
      <c r="Q17" s="44">
        <f t="shared" si="2"/>
        <v>5100000</v>
      </c>
      <c r="R17" s="17">
        <f t="shared" si="2"/>
        <v>0</v>
      </c>
      <c r="S17" s="17">
        <f t="shared" si="2"/>
        <v>88.166666666666671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s="4" customFormat="1" x14ac:dyDescent="0.3">
      <c r="A18" s="92" t="s">
        <v>22</v>
      </c>
      <c r="B18" s="92"/>
      <c r="C18" s="92"/>
      <c r="D18" s="17"/>
      <c r="E18" s="17"/>
      <c r="F18" s="17">
        <f>MIN(F5:F14)</f>
        <v>0</v>
      </c>
      <c r="G18" s="51"/>
      <c r="H18" s="17">
        <f t="shared" ref="H18:S18" si="3">MIN(H5:H14)</f>
        <v>0</v>
      </c>
      <c r="I18" s="17">
        <f t="shared" si="3"/>
        <v>64.7</v>
      </c>
      <c r="J18" s="17">
        <f t="shared" si="3"/>
        <v>230.33333333333334</v>
      </c>
      <c r="K18" s="17">
        <f t="shared" si="3"/>
        <v>46.333333333333336</v>
      </c>
      <c r="L18" s="17">
        <f t="shared" si="3"/>
        <v>43.766666666666673</v>
      </c>
      <c r="M18" s="17">
        <f t="shared" si="3"/>
        <v>6.78</v>
      </c>
      <c r="N18" s="17">
        <f t="shared" si="3"/>
        <v>36.333333333333336</v>
      </c>
      <c r="O18" s="17">
        <f t="shared" si="3"/>
        <v>90</v>
      </c>
      <c r="P18" s="17">
        <f t="shared" si="3"/>
        <v>16.733333333333334</v>
      </c>
      <c r="Q18" s="44">
        <f t="shared" si="3"/>
        <v>2666666.6666666665</v>
      </c>
      <c r="R18" s="17">
        <f t="shared" si="3"/>
        <v>0</v>
      </c>
      <c r="S18" s="17">
        <f t="shared" si="3"/>
        <v>88.166666666666671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s="5" customFormat="1" x14ac:dyDescent="0.3">
      <c r="A19" s="96" t="s">
        <v>1</v>
      </c>
      <c r="B19" s="96"/>
      <c r="C19" s="96"/>
      <c r="D19" s="18"/>
      <c r="E19" s="18"/>
      <c r="F19" s="19" t="e">
        <f t="shared" ref="F19:S19" si="4">STDEV(F5:F14)</f>
        <v>#DIV/0!</v>
      </c>
      <c r="G19" s="19"/>
      <c r="H19" s="19" t="e">
        <f t="shared" si="4"/>
        <v>#DIV/0!</v>
      </c>
      <c r="I19" s="19">
        <f t="shared" si="4"/>
        <v>54.831145473069306</v>
      </c>
      <c r="J19" s="19">
        <f t="shared" si="4"/>
        <v>9.3427531829240227</v>
      </c>
      <c r="K19" s="19">
        <f t="shared" si="4"/>
        <v>13.306918278627588</v>
      </c>
      <c r="L19" s="19" t="e">
        <f t="shared" si="4"/>
        <v>#DIV/0!</v>
      </c>
      <c r="M19" s="19">
        <f t="shared" si="4"/>
        <v>27.909659468841006</v>
      </c>
      <c r="N19" s="19">
        <f t="shared" si="4"/>
        <v>202.84008936068793</v>
      </c>
      <c r="O19" s="19">
        <f t="shared" si="4"/>
        <v>73.560254969046355</v>
      </c>
      <c r="P19" s="19">
        <f t="shared" si="4"/>
        <v>147.43401286049345</v>
      </c>
      <c r="Q19" s="19">
        <f t="shared" si="4"/>
        <v>1132012.301987859</v>
      </c>
      <c r="R19" s="19" t="e">
        <f t="shared" si="4"/>
        <v>#DIV/0!</v>
      </c>
      <c r="S19" s="19" t="e">
        <f t="shared" si="4"/>
        <v>#DIV/0!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s="5" customFormat="1" x14ac:dyDescent="0.3">
      <c r="A20" s="96" t="s">
        <v>2</v>
      </c>
      <c r="B20" s="96"/>
      <c r="C20" s="96"/>
      <c r="D20" s="18"/>
      <c r="E20" s="18"/>
      <c r="F20" s="20" t="e">
        <f t="shared" ref="F20:S20" si="5">F19/F16</f>
        <v>#DIV/0!</v>
      </c>
      <c r="G20" s="20"/>
      <c r="H20" s="20" t="e">
        <f t="shared" si="5"/>
        <v>#DIV/0!</v>
      </c>
      <c r="I20" s="20">
        <f t="shared" si="5"/>
        <v>0.55971566133029793</v>
      </c>
      <c r="J20" s="20">
        <f t="shared" si="5"/>
        <v>3.878002012974343E-2</v>
      </c>
      <c r="K20" s="20">
        <f t="shared" si="5"/>
        <v>0.21994906245665433</v>
      </c>
      <c r="L20" s="20" t="e">
        <f t="shared" si="5"/>
        <v>#DIV/0!</v>
      </c>
      <c r="M20" s="20">
        <f t="shared" si="5"/>
        <v>1.0474960548778407</v>
      </c>
      <c r="N20" s="20">
        <f t="shared" si="5"/>
        <v>1.4584068737736702</v>
      </c>
      <c r="O20" s="20">
        <f t="shared" si="5"/>
        <v>0.46459108401502958</v>
      </c>
      <c r="P20" s="20">
        <f t="shared" si="5"/>
        <v>1.2327258600375706</v>
      </c>
      <c r="Q20" s="20">
        <f t="shared" si="5"/>
        <v>0.3246689202642043</v>
      </c>
      <c r="R20" s="20" t="e">
        <f t="shared" si="5"/>
        <v>#DIV/0!</v>
      </c>
      <c r="S20" s="20" t="e">
        <f t="shared" si="5"/>
        <v>#DIV/0!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3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8">
    <mergeCell ref="A20:C20"/>
    <mergeCell ref="A21:S21"/>
    <mergeCell ref="A3:S3"/>
    <mergeCell ref="A15:C15"/>
    <mergeCell ref="A16:C16"/>
    <mergeCell ref="A17:C17"/>
    <mergeCell ref="A18:C18"/>
    <mergeCell ref="A19:C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opLeftCell="A4" workbookViewId="0">
      <selection activeCell="B12" sqref="B12"/>
    </sheetView>
  </sheetViews>
  <sheetFormatPr baseColWidth="10" defaultRowHeight="14.4" x14ac:dyDescent="0.3"/>
  <sheetData>
    <row r="1" spans="1:21" x14ac:dyDescent="0.3">
      <c r="A1" s="21" t="s">
        <v>28</v>
      </c>
      <c r="B1" s="21"/>
      <c r="C1" s="21"/>
      <c r="D1" s="21"/>
      <c r="E1" s="21"/>
      <c r="F1" s="21"/>
      <c r="G1" s="21"/>
      <c r="H1" s="21"/>
      <c r="I1" s="22"/>
      <c r="J1" s="21"/>
      <c r="K1" s="22"/>
      <c r="L1" s="21"/>
      <c r="M1" s="21"/>
      <c r="N1" s="21"/>
      <c r="O1" s="21"/>
      <c r="P1" s="22"/>
      <c r="Q1" s="39"/>
      <c r="R1" s="21"/>
      <c r="S1" s="21"/>
      <c r="T1" s="36"/>
      <c r="U1" s="36"/>
    </row>
    <row r="2" spans="1:21" x14ac:dyDescent="0.3">
      <c r="A2" s="7"/>
      <c r="B2" s="7"/>
      <c r="C2" s="7"/>
      <c r="D2" s="7"/>
      <c r="E2" s="7"/>
      <c r="F2" s="7"/>
      <c r="G2" s="7"/>
      <c r="H2" s="7"/>
      <c r="I2" s="8"/>
      <c r="J2" s="7"/>
      <c r="K2" s="7"/>
      <c r="L2" s="7"/>
      <c r="M2" s="7"/>
      <c r="N2" s="7"/>
      <c r="O2" s="7"/>
      <c r="P2" s="8"/>
      <c r="Q2" s="40"/>
      <c r="R2" s="7"/>
      <c r="S2" s="7"/>
      <c r="T2" s="3"/>
      <c r="U2" s="3"/>
    </row>
    <row r="3" spans="1:21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3"/>
      <c r="U3" s="3"/>
    </row>
    <row r="4" spans="1:21" ht="55.2" x14ac:dyDescent="0.3">
      <c r="A4" s="25" t="s">
        <v>3</v>
      </c>
      <c r="B4" s="26" t="s">
        <v>4</v>
      </c>
      <c r="C4" s="25" t="s">
        <v>5</v>
      </c>
      <c r="D4" s="25" t="s">
        <v>25</v>
      </c>
      <c r="E4" s="25" t="s">
        <v>10</v>
      </c>
      <c r="F4" s="27" t="s">
        <v>8</v>
      </c>
      <c r="G4" s="27" t="s">
        <v>47</v>
      </c>
      <c r="H4" s="27" t="s">
        <v>9</v>
      </c>
      <c r="I4" s="28" t="s">
        <v>11</v>
      </c>
      <c r="J4" s="28" t="s">
        <v>12</v>
      </c>
      <c r="K4" s="28" t="s">
        <v>13</v>
      </c>
      <c r="L4" s="28" t="s">
        <v>14</v>
      </c>
      <c r="M4" s="28" t="s">
        <v>15</v>
      </c>
      <c r="N4" s="28" t="s">
        <v>16</v>
      </c>
      <c r="O4" s="28" t="s">
        <v>59</v>
      </c>
      <c r="P4" s="28" t="s">
        <v>17</v>
      </c>
      <c r="Q4" s="27" t="s">
        <v>7</v>
      </c>
      <c r="R4" s="27" t="s">
        <v>18</v>
      </c>
      <c r="S4" s="27" t="s">
        <v>19</v>
      </c>
      <c r="T4" s="62" t="s">
        <v>58</v>
      </c>
      <c r="U4" s="62" t="s">
        <v>37</v>
      </c>
    </row>
    <row r="5" spans="1:21" x14ac:dyDescent="0.3">
      <c r="A5" s="29" t="s">
        <v>44</v>
      </c>
      <c r="B5" s="64">
        <v>43564</v>
      </c>
      <c r="C5" s="53"/>
      <c r="D5" s="53"/>
      <c r="E5" s="53">
        <v>26.2</v>
      </c>
      <c r="F5" s="53">
        <v>5.85</v>
      </c>
      <c r="G5" s="53">
        <v>884</v>
      </c>
      <c r="H5" s="53"/>
      <c r="I5" s="53">
        <v>1.4</v>
      </c>
      <c r="J5" s="53">
        <v>89</v>
      </c>
      <c r="K5" s="53">
        <v>7</v>
      </c>
      <c r="L5" s="53"/>
      <c r="M5" s="53">
        <v>7</v>
      </c>
      <c r="N5" s="53">
        <v>4.7</v>
      </c>
      <c r="O5" s="53">
        <v>50</v>
      </c>
      <c r="P5" s="53">
        <v>7.5</v>
      </c>
      <c r="Q5" s="70">
        <v>6670</v>
      </c>
      <c r="R5" s="53"/>
      <c r="S5" s="53"/>
      <c r="T5" s="53" t="s">
        <v>34</v>
      </c>
      <c r="U5" s="53"/>
    </row>
    <row r="6" spans="1:21" ht="28.8" x14ac:dyDescent="0.3">
      <c r="A6" s="34" t="s">
        <v>44</v>
      </c>
      <c r="B6" s="64">
        <v>43571</v>
      </c>
      <c r="C6" s="53" t="s">
        <v>85</v>
      </c>
      <c r="D6" s="53"/>
      <c r="E6" s="53">
        <v>25.5</v>
      </c>
      <c r="F6" s="53">
        <v>6.08</v>
      </c>
      <c r="G6" s="53">
        <v>1057</v>
      </c>
      <c r="H6" s="53">
        <v>149</v>
      </c>
      <c r="I6" s="53">
        <v>2.2000000000000002</v>
      </c>
      <c r="J6" s="53">
        <v>145</v>
      </c>
      <c r="K6" s="53">
        <v>18</v>
      </c>
      <c r="L6" s="53">
        <v>37.299999999999997</v>
      </c>
      <c r="M6" s="53">
        <v>11.75</v>
      </c>
      <c r="N6" s="53">
        <v>5.2</v>
      </c>
      <c r="O6" s="53">
        <v>70</v>
      </c>
      <c r="P6" s="53">
        <v>8.4</v>
      </c>
      <c r="Q6" s="70">
        <v>33300</v>
      </c>
      <c r="R6" s="73" t="s">
        <v>71</v>
      </c>
      <c r="S6" s="53">
        <v>239.5</v>
      </c>
      <c r="T6" s="53" t="s">
        <v>34</v>
      </c>
      <c r="U6" s="53"/>
    </row>
    <row r="7" spans="1:21" x14ac:dyDescent="0.3">
      <c r="A7" s="34" t="s">
        <v>44</v>
      </c>
      <c r="B7" s="64">
        <v>43578</v>
      </c>
      <c r="C7" s="53" t="s">
        <v>41</v>
      </c>
      <c r="D7" s="53"/>
      <c r="E7" s="53">
        <v>25.9</v>
      </c>
      <c r="F7" s="53">
        <v>5.72</v>
      </c>
      <c r="G7" s="53">
        <v>1018</v>
      </c>
      <c r="H7" s="53">
        <v>180</v>
      </c>
      <c r="I7" s="53">
        <v>0.3</v>
      </c>
      <c r="J7" s="53">
        <v>107</v>
      </c>
      <c r="K7" s="53">
        <v>14</v>
      </c>
      <c r="L7" s="53"/>
      <c r="M7" s="53">
        <v>9.7100000000000009</v>
      </c>
      <c r="N7" s="53">
        <v>5.9</v>
      </c>
      <c r="O7" s="53">
        <v>88</v>
      </c>
      <c r="P7" s="53">
        <v>12.2</v>
      </c>
      <c r="Q7" s="70">
        <v>6670</v>
      </c>
      <c r="R7" s="53"/>
      <c r="S7" s="53"/>
      <c r="T7" s="53" t="s">
        <v>34</v>
      </c>
      <c r="U7" s="53"/>
    </row>
    <row r="8" spans="1:21" x14ac:dyDescent="0.3">
      <c r="A8" s="29" t="s">
        <v>45</v>
      </c>
      <c r="B8" s="64">
        <v>43586</v>
      </c>
      <c r="C8" s="53" t="s">
        <v>86</v>
      </c>
      <c r="D8" s="53"/>
      <c r="E8" s="53">
        <v>25.3</v>
      </c>
      <c r="F8" s="53">
        <v>5.21</v>
      </c>
      <c r="G8" s="53">
        <v>1080</v>
      </c>
      <c r="H8" s="53">
        <v>24</v>
      </c>
      <c r="I8" s="71" t="s">
        <v>87</v>
      </c>
      <c r="J8" s="53">
        <v>101</v>
      </c>
      <c r="K8" s="53">
        <v>6</v>
      </c>
      <c r="L8" s="53"/>
      <c r="M8" s="53">
        <v>2.0299999999999998</v>
      </c>
      <c r="N8" s="53">
        <v>5</v>
      </c>
      <c r="O8" s="53">
        <v>98</v>
      </c>
      <c r="P8" s="53">
        <v>12.5</v>
      </c>
      <c r="Q8" s="70">
        <v>0</v>
      </c>
      <c r="R8" s="53"/>
      <c r="S8" s="53"/>
      <c r="T8" s="53" t="s">
        <v>34</v>
      </c>
      <c r="U8" s="53"/>
    </row>
    <row r="9" spans="1:21" x14ac:dyDescent="0.3">
      <c r="A9" s="34" t="s">
        <v>45</v>
      </c>
      <c r="B9" s="64">
        <v>43598</v>
      </c>
      <c r="C9" s="53" t="s">
        <v>74</v>
      </c>
      <c r="D9" s="53"/>
      <c r="E9" s="53">
        <v>26.8</v>
      </c>
      <c r="F9" s="53">
        <v>5.73</v>
      </c>
      <c r="G9" s="53">
        <v>1065</v>
      </c>
      <c r="H9" s="53">
        <v>182</v>
      </c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 t="s">
        <v>36</v>
      </c>
      <c r="U9" s="53"/>
    </row>
    <row r="10" spans="1:21" x14ac:dyDescent="0.3">
      <c r="A10" s="34" t="s">
        <v>45</v>
      </c>
      <c r="B10" s="63">
        <v>43608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 t="s">
        <v>36</v>
      </c>
      <c r="U10" s="52" t="s">
        <v>66</v>
      </c>
    </row>
    <row r="11" spans="1:21" x14ac:dyDescent="0.3">
      <c r="A11" s="29" t="s">
        <v>45</v>
      </c>
      <c r="B11" s="63">
        <v>43612</v>
      </c>
      <c r="C11" s="52" t="s">
        <v>88</v>
      </c>
      <c r="D11" s="52"/>
      <c r="E11" s="52">
        <v>26.3</v>
      </c>
      <c r="F11" s="52">
        <v>6.51</v>
      </c>
      <c r="G11" s="52">
        <v>904</v>
      </c>
      <c r="H11" s="52">
        <v>217</v>
      </c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 t="s">
        <v>36</v>
      </c>
      <c r="U11" s="52"/>
    </row>
    <row r="12" spans="1:21" x14ac:dyDescent="0.3">
      <c r="A12" s="29" t="s">
        <v>111</v>
      </c>
      <c r="B12" s="30">
        <v>43633</v>
      </c>
      <c r="C12" s="25" t="s">
        <v>115</v>
      </c>
      <c r="D12" s="25"/>
      <c r="E12" s="25">
        <v>27</v>
      </c>
      <c r="F12" s="25">
        <v>5.14</v>
      </c>
      <c r="G12" s="25">
        <v>1212</v>
      </c>
      <c r="H12" s="25">
        <v>278</v>
      </c>
      <c r="I12" s="31"/>
      <c r="J12" s="25"/>
      <c r="K12" s="31"/>
      <c r="L12" s="25"/>
      <c r="M12" s="25"/>
      <c r="N12" s="25"/>
      <c r="O12" s="25"/>
      <c r="P12" s="31"/>
      <c r="Q12" s="41"/>
      <c r="R12" s="32"/>
      <c r="S12" s="35"/>
      <c r="T12" s="3"/>
      <c r="U12" s="3"/>
    </row>
    <row r="13" spans="1:21" x14ac:dyDescent="0.3">
      <c r="A13" s="29"/>
      <c r="B13" s="30"/>
      <c r="C13" s="25"/>
      <c r="D13" s="25"/>
      <c r="E13" s="25"/>
      <c r="F13" s="25"/>
      <c r="G13" s="25"/>
      <c r="H13" s="25"/>
      <c r="I13" s="31"/>
      <c r="J13" s="25"/>
      <c r="K13" s="31"/>
      <c r="L13" s="25"/>
      <c r="M13" s="25"/>
      <c r="N13" s="25"/>
      <c r="O13" s="25"/>
      <c r="P13" s="31"/>
      <c r="Q13" s="41"/>
      <c r="R13" s="35"/>
      <c r="S13" s="35"/>
      <c r="T13" s="3"/>
      <c r="U13" s="3"/>
    </row>
    <row r="14" spans="1:21" x14ac:dyDescent="0.3">
      <c r="A14" s="10"/>
      <c r="B14" s="11"/>
      <c r="C14" s="9"/>
      <c r="D14" s="9"/>
      <c r="E14" s="9"/>
      <c r="F14" s="9"/>
      <c r="G14" s="9"/>
      <c r="H14" s="9"/>
      <c r="I14" s="12"/>
      <c r="J14" s="9"/>
      <c r="K14" s="12"/>
      <c r="L14" s="9"/>
      <c r="M14" s="9"/>
      <c r="N14" s="9"/>
      <c r="O14" s="9"/>
      <c r="P14" s="12"/>
      <c r="Q14" s="42"/>
      <c r="R14" s="13"/>
      <c r="S14" s="14"/>
      <c r="T14" s="3"/>
      <c r="U14" s="3"/>
    </row>
    <row r="15" spans="1:21" x14ac:dyDescent="0.3">
      <c r="A15" s="94" t="s">
        <v>0</v>
      </c>
      <c r="B15" s="94"/>
      <c r="C15" s="94"/>
      <c r="D15" s="48"/>
      <c r="E15" s="48"/>
      <c r="F15" s="48">
        <f t="shared" ref="F15:S15" si="0">COUNT(F5:F14)</f>
        <v>7</v>
      </c>
      <c r="G15" s="48"/>
      <c r="H15" s="48">
        <f t="shared" si="0"/>
        <v>6</v>
      </c>
      <c r="I15" s="48">
        <f t="shared" si="0"/>
        <v>3</v>
      </c>
      <c r="J15" s="48">
        <f t="shared" si="0"/>
        <v>4</v>
      </c>
      <c r="K15" s="48">
        <f t="shared" si="0"/>
        <v>4</v>
      </c>
      <c r="L15" s="48">
        <f t="shared" si="0"/>
        <v>1</v>
      </c>
      <c r="M15" s="48">
        <f t="shared" si="0"/>
        <v>4</v>
      </c>
      <c r="N15" s="48">
        <f t="shared" si="0"/>
        <v>4</v>
      </c>
      <c r="O15" s="48">
        <f t="shared" si="0"/>
        <v>4</v>
      </c>
      <c r="P15" s="48">
        <f t="shared" si="0"/>
        <v>4</v>
      </c>
      <c r="Q15" s="48">
        <f t="shared" si="0"/>
        <v>4</v>
      </c>
      <c r="R15" s="48">
        <f t="shared" si="0"/>
        <v>0</v>
      </c>
      <c r="S15" s="48">
        <f t="shared" si="0"/>
        <v>1</v>
      </c>
      <c r="T15" s="3"/>
      <c r="U15" s="3"/>
    </row>
    <row r="16" spans="1:21" x14ac:dyDescent="0.3">
      <c r="A16" s="95" t="s">
        <v>20</v>
      </c>
      <c r="B16" s="95"/>
      <c r="C16" s="95"/>
      <c r="D16" s="49"/>
      <c r="E16" s="49"/>
      <c r="F16" s="49">
        <f>AVERAGE(F5:F14)</f>
        <v>5.7485714285714291</v>
      </c>
      <c r="G16" s="49"/>
      <c r="H16" s="49">
        <f t="shared" ref="H16:S16" si="1">AVERAGE(H5:H14)</f>
        <v>171.66666666666666</v>
      </c>
      <c r="I16" s="49">
        <f t="shared" si="1"/>
        <v>1.3</v>
      </c>
      <c r="J16" s="49">
        <f t="shared" si="1"/>
        <v>110.5</v>
      </c>
      <c r="K16" s="49">
        <f t="shared" si="1"/>
        <v>11.25</v>
      </c>
      <c r="L16" s="49">
        <f t="shared" si="1"/>
        <v>37.299999999999997</v>
      </c>
      <c r="M16" s="49">
        <f t="shared" si="1"/>
        <v>7.6225000000000005</v>
      </c>
      <c r="N16" s="49">
        <f t="shared" si="1"/>
        <v>5.2</v>
      </c>
      <c r="O16" s="49">
        <f t="shared" si="1"/>
        <v>76.5</v>
      </c>
      <c r="P16" s="49">
        <f t="shared" si="1"/>
        <v>10.15</v>
      </c>
      <c r="Q16" s="43">
        <f t="shared" si="1"/>
        <v>11660</v>
      </c>
      <c r="R16" s="49" t="e">
        <f t="shared" si="1"/>
        <v>#DIV/0!</v>
      </c>
      <c r="S16" s="49">
        <f t="shared" si="1"/>
        <v>239.5</v>
      </c>
      <c r="T16" s="3"/>
      <c r="U16" s="3"/>
    </row>
    <row r="17" spans="1:21" x14ac:dyDescent="0.3">
      <c r="A17" s="92" t="s">
        <v>21</v>
      </c>
      <c r="B17" s="92"/>
      <c r="C17" s="92"/>
      <c r="D17" s="51"/>
      <c r="E17" s="51"/>
      <c r="F17" s="51">
        <f>MAX(F5:F14)</f>
        <v>6.51</v>
      </c>
      <c r="G17" s="51"/>
      <c r="H17" s="51">
        <f t="shared" ref="H17:S17" si="2">MAX(H5:H14)</f>
        <v>278</v>
      </c>
      <c r="I17" s="51">
        <f t="shared" si="2"/>
        <v>2.2000000000000002</v>
      </c>
      <c r="J17" s="51">
        <f t="shared" si="2"/>
        <v>145</v>
      </c>
      <c r="K17" s="51">
        <f t="shared" si="2"/>
        <v>18</v>
      </c>
      <c r="L17" s="51">
        <f t="shared" si="2"/>
        <v>37.299999999999997</v>
      </c>
      <c r="M17" s="51">
        <f t="shared" si="2"/>
        <v>11.75</v>
      </c>
      <c r="N17" s="51">
        <f t="shared" si="2"/>
        <v>5.9</v>
      </c>
      <c r="O17" s="51">
        <f t="shared" si="2"/>
        <v>98</v>
      </c>
      <c r="P17" s="51">
        <f t="shared" si="2"/>
        <v>12.5</v>
      </c>
      <c r="Q17" s="44">
        <f t="shared" si="2"/>
        <v>33300</v>
      </c>
      <c r="R17" s="51">
        <f t="shared" si="2"/>
        <v>0</v>
      </c>
      <c r="S17" s="51">
        <f t="shared" si="2"/>
        <v>239.5</v>
      </c>
      <c r="T17" s="3"/>
      <c r="U17" s="3"/>
    </row>
    <row r="18" spans="1:21" x14ac:dyDescent="0.3">
      <c r="A18" s="92" t="s">
        <v>22</v>
      </c>
      <c r="B18" s="92"/>
      <c r="C18" s="92"/>
      <c r="D18" s="51"/>
      <c r="E18" s="51"/>
      <c r="F18" s="51">
        <f>MIN(F5:F14)</f>
        <v>5.14</v>
      </c>
      <c r="G18" s="51"/>
      <c r="H18" s="51">
        <f t="shared" ref="H18:S18" si="3">MIN(H5:H14)</f>
        <v>24</v>
      </c>
      <c r="I18" s="51">
        <f t="shared" si="3"/>
        <v>0.3</v>
      </c>
      <c r="J18" s="51">
        <f t="shared" si="3"/>
        <v>89</v>
      </c>
      <c r="K18" s="51">
        <f t="shared" si="3"/>
        <v>6</v>
      </c>
      <c r="L18" s="51">
        <f t="shared" si="3"/>
        <v>37.299999999999997</v>
      </c>
      <c r="M18" s="51">
        <f t="shared" si="3"/>
        <v>2.0299999999999998</v>
      </c>
      <c r="N18" s="51">
        <f t="shared" si="3"/>
        <v>4.7</v>
      </c>
      <c r="O18" s="51">
        <f t="shared" si="3"/>
        <v>50</v>
      </c>
      <c r="P18" s="51">
        <f t="shared" si="3"/>
        <v>7.5</v>
      </c>
      <c r="Q18" s="44">
        <f t="shared" si="3"/>
        <v>0</v>
      </c>
      <c r="R18" s="51">
        <f t="shared" si="3"/>
        <v>0</v>
      </c>
      <c r="S18" s="51">
        <f t="shared" si="3"/>
        <v>239.5</v>
      </c>
      <c r="T18" s="3"/>
      <c r="U18" s="3"/>
    </row>
    <row r="19" spans="1:21" x14ac:dyDescent="0.3">
      <c r="A19" s="96" t="s">
        <v>1</v>
      </c>
      <c r="B19" s="96"/>
      <c r="C19" s="96"/>
      <c r="D19" s="50"/>
      <c r="E19" s="50"/>
      <c r="F19" s="19">
        <f t="shared" ref="F19:S19" si="4">STDEV(F5:F14)</f>
        <v>0.47635520960128663</v>
      </c>
      <c r="G19" s="19"/>
      <c r="H19" s="19">
        <f t="shared" si="4"/>
        <v>84.684512554933377</v>
      </c>
      <c r="I19" s="19">
        <f t="shared" si="4"/>
        <v>0.95393920141694599</v>
      </c>
      <c r="J19" s="19">
        <f t="shared" si="4"/>
        <v>24.186773244895647</v>
      </c>
      <c r="K19" s="19">
        <f t="shared" si="4"/>
        <v>5.7373048260195016</v>
      </c>
      <c r="L19" s="19" t="e">
        <f t="shared" si="4"/>
        <v>#DIV/0!</v>
      </c>
      <c r="M19" s="19">
        <f t="shared" si="4"/>
        <v>4.2054518187704879</v>
      </c>
      <c r="N19" s="19">
        <f t="shared" si="4"/>
        <v>0.50990195135927852</v>
      </c>
      <c r="O19" s="19">
        <f t="shared" si="4"/>
        <v>21.126602503321099</v>
      </c>
      <c r="P19" s="19">
        <f t="shared" si="4"/>
        <v>2.5696951829610675</v>
      </c>
      <c r="Q19" s="19">
        <f t="shared" si="4"/>
        <v>14765.335530672282</v>
      </c>
      <c r="R19" s="19" t="e">
        <f t="shared" si="4"/>
        <v>#DIV/0!</v>
      </c>
      <c r="S19" s="19" t="e">
        <f t="shared" si="4"/>
        <v>#DIV/0!</v>
      </c>
      <c r="T19" s="3"/>
      <c r="U19" s="3"/>
    </row>
    <row r="20" spans="1:21" x14ac:dyDescent="0.3">
      <c r="A20" s="96" t="s">
        <v>2</v>
      </c>
      <c r="B20" s="96"/>
      <c r="C20" s="96"/>
      <c r="D20" s="50"/>
      <c r="E20" s="50"/>
      <c r="F20" s="20">
        <f t="shared" ref="F20:S20" si="5">F19/F16</f>
        <v>8.2864971849130373E-2</v>
      </c>
      <c r="G20" s="20"/>
      <c r="H20" s="20">
        <f t="shared" si="5"/>
        <v>0.49330784012582551</v>
      </c>
      <c r="I20" s="20">
        <f t="shared" si="5"/>
        <v>0.73379938570534309</v>
      </c>
      <c r="J20" s="20">
        <f t="shared" si="5"/>
        <v>0.21888482574566195</v>
      </c>
      <c r="K20" s="20">
        <f t="shared" si="5"/>
        <v>0.50998265120173347</v>
      </c>
      <c r="L20" s="20" t="e">
        <f t="shared" si="5"/>
        <v>#DIV/0!</v>
      </c>
      <c r="M20" s="20">
        <f t="shared" si="5"/>
        <v>0.55171555510272063</v>
      </c>
      <c r="N20" s="20">
        <f t="shared" si="5"/>
        <v>9.8058067569092022E-2</v>
      </c>
      <c r="O20" s="20">
        <f t="shared" si="5"/>
        <v>0.27616473860550456</v>
      </c>
      <c r="P20" s="20">
        <f t="shared" si="5"/>
        <v>0.25317193920798692</v>
      </c>
      <c r="Q20" s="20">
        <f t="shared" si="5"/>
        <v>1.2663238019444496</v>
      </c>
      <c r="R20" s="20" t="e">
        <f t="shared" si="5"/>
        <v>#DIV/0!</v>
      </c>
      <c r="S20" s="20" t="e">
        <f t="shared" si="5"/>
        <v>#DIV/0!</v>
      </c>
      <c r="T20" s="3"/>
      <c r="U20" s="3"/>
    </row>
  </sheetData>
  <mergeCells count="7">
    <mergeCell ref="A20:C20"/>
    <mergeCell ref="A3:S3"/>
    <mergeCell ref="A15:C15"/>
    <mergeCell ref="A16:C16"/>
    <mergeCell ref="A17:C17"/>
    <mergeCell ref="A18:C18"/>
    <mergeCell ref="A19:C1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workbookViewId="0">
      <selection activeCell="H12" sqref="H12"/>
    </sheetView>
  </sheetViews>
  <sheetFormatPr baseColWidth="10" defaultRowHeight="14.4" x14ac:dyDescent="0.3"/>
  <cols>
    <col min="21" max="21" width="23.109375" customWidth="1"/>
  </cols>
  <sheetData>
    <row r="1" spans="1:33" s="23" customFormat="1" x14ac:dyDescent="0.3">
      <c r="A1" s="21" t="s">
        <v>29</v>
      </c>
      <c r="B1" s="21"/>
      <c r="C1" s="21"/>
      <c r="D1" s="21"/>
      <c r="E1" s="21"/>
      <c r="F1" s="21"/>
      <c r="G1" s="21"/>
      <c r="H1" s="21"/>
      <c r="I1" s="22"/>
      <c r="J1" s="21"/>
      <c r="K1" s="22"/>
      <c r="L1" s="21"/>
      <c r="M1" s="21"/>
      <c r="N1" s="21"/>
      <c r="O1" s="21"/>
      <c r="P1" s="22"/>
      <c r="Q1" s="39"/>
      <c r="R1" s="21"/>
      <c r="S1" s="21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</row>
    <row r="2" spans="1:33" x14ac:dyDescent="0.3">
      <c r="A2" s="7"/>
      <c r="B2" s="7"/>
      <c r="C2" s="7"/>
      <c r="D2" s="7"/>
      <c r="E2" s="7"/>
      <c r="F2" s="7"/>
      <c r="G2" s="7"/>
      <c r="H2" s="7"/>
      <c r="I2" s="8"/>
      <c r="J2" s="7"/>
      <c r="K2" s="7"/>
      <c r="L2" s="7"/>
      <c r="M2" s="7"/>
      <c r="N2" s="7"/>
      <c r="O2" s="7"/>
      <c r="P2" s="8"/>
      <c r="Q2" s="40"/>
      <c r="R2" s="7"/>
      <c r="S2" s="7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s="24" customFormat="1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s="24" customFormat="1" ht="52.95" customHeight="1" x14ac:dyDescent="0.3">
      <c r="A4" s="25" t="s">
        <v>3</v>
      </c>
      <c r="B4" s="26" t="s">
        <v>4</v>
      </c>
      <c r="C4" s="25" t="s">
        <v>5</v>
      </c>
      <c r="D4" s="25" t="s">
        <v>25</v>
      </c>
      <c r="E4" s="25" t="s">
        <v>10</v>
      </c>
      <c r="F4" s="27" t="s">
        <v>8</v>
      </c>
      <c r="G4" s="27" t="s">
        <v>47</v>
      </c>
      <c r="H4" s="27" t="s">
        <v>9</v>
      </c>
      <c r="I4" s="28" t="s">
        <v>11</v>
      </c>
      <c r="J4" s="28" t="s">
        <v>12</v>
      </c>
      <c r="K4" s="28" t="s">
        <v>13</v>
      </c>
      <c r="L4" s="28" t="s">
        <v>14</v>
      </c>
      <c r="M4" s="28" t="s">
        <v>15</v>
      </c>
      <c r="N4" s="28" t="s">
        <v>16</v>
      </c>
      <c r="O4" s="28" t="s">
        <v>60</v>
      </c>
      <c r="P4" s="28" t="s">
        <v>17</v>
      </c>
      <c r="Q4" s="27" t="s">
        <v>7</v>
      </c>
      <c r="R4" s="27" t="s">
        <v>18</v>
      </c>
      <c r="S4" s="27" t="s">
        <v>19</v>
      </c>
      <c r="T4" s="62" t="s">
        <v>58</v>
      </c>
      <c r="U4" s="62" t="s">
        <v>37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s="24" customFormat="1" x14ac:dyDescent="0.3">
      <c r="A5" s="29" t="s">
        <v>44</v>
      </c>
      <c r="B5" s="64">
        <v>43564</v>
      </c>
      <c r="C5" s="53" t="s">
        <v>89</v>
      </c>
      <c r="D5" s="53"/>
      <c r="E5" s="53">
        <v>26.2</v>
      </c>
      <c r="F5" s="53">
        <v>6.22</v>
      </c>
      <c r="G5" s="53">
        <v>925</v>
      </c>
      <c r="H5" s="53"/>
      <c r="I5" s="53">
        <v>4.8</v>
      </c>
      <c r="J5" s="53">
        <v>78</v>
      </c>
      <c r="K5" s="53">
        <v>11</v>
      </c>
      <c r="L5" s="53"/>
      <c r="M5" s="53">
        <v>9.5</v>
      </c>
      <c r="N5" s="53">
        <v>2</v>
      </c>
      <c r="O5" s="53">
        <v>30</v>
      </c>
      <c r="P5" s="53">
        <v>11.8</v>
      </c>
      <c r="Q5" s="70">
        <v>3330</v>
      </c>
      <c r="R5" s="53"/>
      <c r="S5" s="53"/>
      <c r="T5" s="53" t="s">
        <v>34</v>
      </c>
      <c r="U5" s="5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s="24" customFormat="1" ht="28.8" x14ac:dyDescent="0.3">
      <c r="A6" s="34" t="s">
        <v>44</v>
      </c>
      <c r="B6" s="64">
        <v>43571</v>
      </c>
      <c r="C6" s="53" t="s">
        <v>90</v>
      </c>
      <c r="D6" s="53"/>
      <c r="E6" s="53">
        <v>25.9</v>
      </c>
      <c r="F6" s="53">
        <v>6.25</v>
      </c>
      <c r="G6" s="53">
        <v>1105</v>
      </c>
      <c r="H6" s="53">
        <v>103</v>
      </c>
      <c r="I6" s="53">
        <v>2.8</v>
      </c>
      <c r="J6" s="53">
        <v>57</v>
      </c>
      <c r="K6" s="53">
        <v>18</v>
      </c>
      <c r="L6" s="53">
        <v>44.1</v>
      </c>
      <c r="M6" s="53">
        <v>14</v>
      </c>
      <c r="N6" s="53">
        <v>2.2000000000000002</v>
      </c>
      <c r="O6" s="53">
        <v>73</v>
      </c>
      <c r="P6" s="53">
        <v>10.9</v>
      </c>
      <c r="Q6" s="70">
        <v>3330</v>
      </c>
      <c r="R6" s="73" t="s">
        <v>91</v>
      </c>
      <c r="S6" s="53">
        <v>138</v>
      </c>
      <c r="T6" s="53" t="s">
        <v>34</v>
      </c>
      <c r="U6" s="5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s="24" customFormat="1" x14ac:dyDescent="0.3">
      <c r="A7" s="34" t="s">
        <v>44</v>
      </c>
      <c r="B7" s="64">
        <v>43578</v>
      </c>
      <c r="C7" s="53" t="s">
        <v>52</v>
      </c>
      <c r="D7" s="53"/>
      <c r="E7" s="53">
        <v>25.7</v>
      </c>
      <c r="F7" s="53">
        <v>5.95</v>
      </c>
      <c r="G7" s="53">
        <v>1025</v>
      </c>
      <c r="H7" s="53">
        <v>144</v>
      </c>
      <c r="I7" s="53">
        <v>0.8</v>
      </c>
      <c r="J7" s="53">
        <v>92</v>
      </c>
      <c r="K7" s="53">
        <v>12</v>
      </c>
      <c r="L7" s="53"/>
      <c r="M7" s="84">
        <v>10.62</v>
      </c>
      <c r="N7" s="53">
        <v>2.2000000000000002</v>
      </c>
      <c r="O7" s="53">
        <v>72</v>
      </c>
      <c r="P7" s="53">
        <v>13.3</v>
      </c>
      <c r="Q7" s="70">
        <v>3330</v>
      </c>
      <c r="R7" s="53"/>
      <c r="S7" s="53"/>
      <c r="T7" s="53" t="s">
        <v>34</v>
      </c>
      <c r="U7" s="115" t="s">
        <v>107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s="24" customFormat="1" x14ac:dyDescent="0.3">
      <c r="A8" s="29" t="s">
        <v>45</v>
      </c>
      <c r="B8" s="64">
        <v>43586</v>
      </c>
      <c r="C8" s="53" t="s">
        <v>92</v>
      </c>
      <c r="D8" s="53"/>
      <c r="E8" s="53">
        <v>25.8</v>
      </c>
      <c r="F8" s="53">
        <v>5.53</v>
      </c>
      <c r="G8" s="53">
        <v>1068</v>
      </c>
      <c r="H8" s="53">
        <v>180</v>
      </c>
      <c r="I8" s="53">
        <v>1.1000000000000001</v>
      </c>
      <c r="J8" s="53">
        <v>136</v>
      </c>
      <c r="K8" s="53">
        <v>20</v>
      </c>
      <c r="L8" s="53"/>
      <c r="M8" s="84">
        <v>9.7100000000000009</v>
      </c>
      <c r="N8" s="53">
        <v>2</v>
      </c>
      <c r="O8" s="53">
        <v>73</v>
      </c>
      <c r="P8" s="53">
        <v>14</v>
      </c>
      <c r="Q8" s="70">
        <v>6670</v>
      </c>
      <c r="R8" s="53"/>
      <c r="S8" s="53"/>
      <c r="T8" s="53" t="s">
        <v>34</v>
      </c>
      <c r="U8" s="116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s="24" customFormat="1" x14ac:dyDescent="0.3">
      <c r="A9" s="34" t="s">
        <v>45</v>
      </c>
      <c r="B9" s="64">
        <v>43598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 t="s">
        <v>36</v>
      </c>
      <c r="U9" s="53" t="s">
        <v>66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s="24" customFormat="1" x14ac:dyDescent="0.3">
      <c r="A10" s="34" t="s">
        <v>45</v>
      </c>
      <c r="B10" s="63">
        <v>43608</v>
      </c>
      <c r="C10" s="52" t="s">
        <v>93</v>
      </c>
      <c r="D10" s="52"/>
      <c r="E10" s="52">
        <v>26.6</v>
      </c>
      <c r="F10" s="52">
        <v>5.73</v>
      </c>
      <c r="G10" s="52">
        <v>1020</v>
      </c>
      <c r="H10" s="52">
        <v>200</v>
      </c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 t="s">
        <v>36</v>
      </c>
      <c r="U10" s="52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s="24" customFormat="1" x14ac:dyDescent="0.3">
      <c r="A11" s="29" t="s">
        <v>45</v>
      </c>
      <c r="B11" s="63">
        <v>43612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 t="s">
        <v>36</v>
      </c>
      <c r="U11" s="52" t="s">
        <v>66</v>
      </c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s="24" customFormat="1" x14ac:dyDescent="0.3">
      <c r="A12" s="29" t="s">
        <v>111</v>
      </c>
      <c r="B12" s="30">
        <v>43633</v>
      </c>
      <c r="C12" s="25" t="s">
        <v>116</v>
      </c>
      <c r="D12" s="25"/>
      <c r="E12" s="25">
        <v>26.8</v>
      </c>
      <c r="F12" s="25">
        <v>5.19</v>
      </c>
      <c r="G12" s="25">
        <v>1224</v>
      </c>
      <c r="H12" s="25">
        <v>253</v>
      </c>
      <c r="I12" s="31"/>
      <c r="J12" s="25"/>
      <c r="K12" s="31"/>
      <c r="L12" s="25"/>
      <c r="M12" s="25"/>
      <c r="N12" s="25"/>
      <c r="O12" s="25"/>
      <c r="P12" s="31"/>
      <c r="Q12" s="41"/>
      <c r="R12" s="32"/>
      <c r="S12" s="35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s="24" customFormat="1" x14ac:dyDescent="0.3">
      <c r="A13" s="29"/>
      <c r="B13" s="30"/>
      <c r="C13" s="25"/>
      <c r="D13" s="25"/>
      <c r="E13" s="25"/>
      <c r="F13" s="25"/>
      <c r="G13" s="25"/>
      <c r="H13" s="25"/>
      <c r="I13" s="31"/>
      <c r="J13" s="25"/>
      <c r="K13" s="31"/>
      <c r="L13" s="25"/>
      <c r="M13" s="25"/>
      <c r="N13" s="25"/>
      <c r="O13" s="25"/>
      <c r="P13" s="31"/>
      <c r="Q13" s="41"/>
      <c r="R13" s="35"/>
      <c r="S13" s="35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3">
      <c r="A14" s="10"/>
      <c r="B14" s="11"/>
      <c r="C14" s="9"/>
      <c r="D14" s="9"/>
      <c r="E14" s="9"/>
      <c r="F14" s="9"/>
      <c r="G14" s="9"/>
      <c r="H14" s="9"/>
      <c r="I14" s="12"/>
      <c r="J14" s="9"/>
      <c r="K14" s="12"/>
      <c r="L14" s="9"/>
      <c r="M14" s="9"/>
      <c r="N14" s="9"/>
      <c r="O14" s="9"/>
      <c r="P14" s="12"/>
      <c r="Q14" s="42"/>
      <c r="R14" s="13"/>
      <c r="S14" s="14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3">
      <c r="A15" s="94" t="s">
        <v>0</v>
      </c>
      <c r="B15" s="94"/>
      <c r="C15" s="94"/>
      <c r="D15" s="15"/>
      <c r="E15" s="15"/>
      <c r="F15" s="15">
        <f t="shared" ref="F15:S15" si="0">COUNT(F5:F14)</f>
        <v>6</v>
      </c>
      <c r="G15" s="48"/>
      <c r="H15" s="15">
        <f t="shared" si="0"/>
        <v>5</v>
      </c>
      <c r="I15" s="15">
        <f t="shared" si="0"/>
        <v>4</v>
      </c>
      <c r="J15" s="15">
        <f t="shared" si="0"/>
        <v>4</v>
      </c>
      <c r="K15" s="15">
        <f t="shared" si="0"/>
        <v>4</v>
      </c>
      <c r="L15" s="15">
        <f t="shared" si="0"/>
        <v>1</v>
      </c>
      <c r="M15" s="15">
        <f t="shared" si="0"/>
        <v>4</v>
      </c>
      <c r="N15" s="15">
        <f t="shared" si="0"/>
        <v>4</v>
      </c>
      <c r="O15" s="15">
        <f t="shared" si="0"/>
        <v>4</v>
      </c>
      <c r="P15" s="15">
        <f t="shared" si="0"/>
        <v>4</v>
      </c>
      <c r="Q15" s="15">
        <f t="shared" si="0"/>
        <v>4</v>
      </c>
      <c r="R15" s="15">
        <f t="shared" si="0"/>
        <v>0</v>
      </c>
      <c r="S15" s="15">
        <f t="shared" si="0"/>
        <v>1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s="6" customFormat="1" x14ac:dyDescent="0.3">
      <c r="A16" s="95" t="s">
        <v>20</v>
      </c>
      <c r="B16" s="95"/>
      <c r="C16" s="95"/>
      <c r="D16" s="16"/>
      <c r="E16" s="16"/>
      <c r="F16" s="16">
        <f>AVERAGE(F5:F14)</f>
        <v>5.8116666666666665</v>
      </c>
      <c r="G16" s="49"/>
      <c r="H16" s="16">
        <f t="shared" ref="H16:S16" si="1">AVERAGE(H5:H14)</f>
        <v>176</v>
      </c>
      <c r="I16" s="16">
        <f t="shared" si="1"/>
        <v>2.375</v>
      </c>
      <c r="J16" s="16">
        <f t="shared" si="1"/>
        <v>90.75</v>
      </c>
      <c r="K16" s="16">
        <f t="shared" si="1"/>
        <v>15.25</v>
      </c>
      <c r="L16" s="16">
        <f t="shared" si="1"/>
        <v>44.1</v>
      </c>
      <c r="M16" s="16">
        <f t="shared" si="1"/>
        <v>10.9575</v>
      </c>
      <c r="N16" s="16">
        <f t="shared" si="1"/>
        <v>2.1</v>
      </c>
      <c r="O16" s="16">
        <f t="shared" si="1"/>
        <v>62</v>
      </c>
      <c r="P16" s="16">
        <f t="shared" si="1"/>
        <v>12.5</v>
      </c>
      <c r="Q16" s="43">
        <f t="shared" si="1"/>
        <v>4165</v>
      </c>
      <c r="R16" s="16" t="e">
        <f t="shared" si="1"/>
        <v>#DIV/0!</v>
      </c>
      <c r="S16" s="16">
        <f t="shared" si="1"/>
        <v>138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s="4" customFormat="1" x14ac:dyDescent="0.3">
      <c r="A17" s="92" t="s">
        <v>21</v>
      </c>
      <c r="B17" s="92"/>
      <c r="C17" s="92"/>
      <c r="D17" s="17"/>
      <c r="E17" s="17"/>
      <c r="F17" s="17">
        <f>MAX(F5:F14)</f>
        <v>6.25</v>
      </c>
      <c r="G17" s="51"/>
      <c r="H17" s="17">
        <f t="shared" ref="H17:S17" si="2">MAX(H5:H14)</f>
        <v>253</v>
      </c>
      <c r="I17" s="17">
        <f t="shared" si="2"/>
        <v>4.8</v>
      </c>
      <c r="J17" s="17">
        <f t="shared" si="2"/>
        <v>136</v>
      </c>
      <c r="K17" s="17">
        <f t="shared" si="2"/>
        <v>20</v>
      </c>
      <c r="L17" s="17">
        <f t="shared" si="2"/>
        <v>44.1</v>
      </c>
      <c r="M17" s="17">
        <f t="shared" si="2"/>
        <v>14</v>
      </c>
      <c r="N17" s="17">
        <f t="shared" si="2"/>
        <v>2.2000000000000002</v>
      </c>
      <c r="O17" s="17">
        <f t="shared" si="2"/>
        <v>73</v>
      </c>
      <c r="P17" s="17">
        <f t="shared" si="2"/>
        <v>14</v>
      </c>
      <c r="Q17" s="44">
        <f t="shared" si="2"/>
        <v>6670</v>
      </c>
      <c r="R17" s="17">
        <f t="shared" si="2"/>
        <v>0</v>
      </c>
      <c r="S17" s="17">
        <f t="shared" si="2"/>
        <v>138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s="4" customFormat="1" x14ac:dyDescent="0.3">
      <c r="A18" s="92" t="s">
        <v>22</v>
      </c>
      <c r="B18" s="92"/>
      <c r="C18" s="92"/>
      <c r="D18" s="17"/>
      <c r="E18" s="17"/>
      <c r="F18" s="17">
        <f>MIN(F5:F14)</f>
        <v>5.19</v>
      </c>
      <c r="G18" s="51"/>
      <c r="H18" s="17">
        <f t="shared" ref="H18:S18" si="3">MIN(H5:H14)</f>
        <v>103</v>
      </c>
      <c r="I18" s="17">
        <f t="shared" si="3"/>
        <v>0.8</v>
      </c>
      <c r="J18" s="17">
        <f t="shared" si="3"/>
        <v>57</v>
      </c>
      <c r="K18" s="17">
        <f t="shared" si="3"/>
        <v>11</v>
      </c>
      <c r="L18" s="17">
        <f t="shared" si="3"/>
        <v>44.1</v>
      </c>
      <c r="M18" s="17">
        <f t="shared" si="3"/>
        <v>9.5</v>
      </c>
      <c r="N18" s="17">
        <f t="shared" si="3"/>
        <v>2</v>
      </c>
      <c r="O18" s="17">
        <f t="shared" si="3"/>
        <v>30</v>
      </c>
      <c r="P18" s="17">
        <f t="shared" si="3"/>
        <v>10.9</v>
      </c>
      <c r="Q18" s="44">
        <f t="shared" si="3"/>
        <v>3330</v>
      </c>
      <c r="R18" s="17">
        <f t="shared" si="3"/>
        <v>0</v>
      </c>
      <c r="S18" s="17">
        <f t="shared" si="3"/>
        <v>138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s="5" customFormat="1" x14ac:dyDescent="0.3">
      <c r="A19" s="96" t="s">
        <v>1</v>
      </c>
      <c r="B19" s="96"/>
      <c r="C19" s="96"/>
      <c r="D19" s="18"/>
      <c r="E19" s="18"/>
      <c r="F19" s="19">
        <f t="shared" ref="F19:S19" si="4">STDEV(F5:F14)</f>
        <v>0.4124277714541863</v>
      </c>
      <c r="G19" s="19"/>
      <c r="H19" s="19">
        <f t="shared" si="4"/>
        <v>56.731825283521417</v>
      </c>
      <c r="I19" s="19">
        <f t="shared" si="4"/>
        <v>1.8409689477736082</v>
      </c>
      <c r="J19" s="19">
        <f t="shared" si="4"/>
        <v>33.420303210274241</v>
      </c>
      <c r="K19" s="19">
        <f t="shared" si="4"/>
        <v>4.4253060157839181</v>
      </c>
      <c r="L19" s="19" t="e">
        <f t="shared" si="4"/>
        <v>#DIV/0!</v>
      </c>
      <c r="M19" s="19">
        <f t="shared" si="4"/>
        <v>2.0857672449245217</v>
      </c>
      <c r="N19" s="19">
        <f t="shared" si="4"/>
        <v>0.11547005383792526</v>
      </c>
      <c r="O19" s="19">
        <f t="shared" si="4"/>
        <v>21.338541031038961</v>
      </c>
      <c r="P19" s="19">
        <f t="shared" si="4"/>
        <v>1.4071247279470287</v>
      </c>
      <c r="Q19" s="19">
        <f t="shared" si="4"/>
        <v>1670</v>
      </c>
      <c r="R19" s="19" t="e">
        <f t="shared" si="4"/>
        <v>#DIV/0!</v>
      </c>
      <c r="S19" s="19" t="e">
        <f t="shared" si="4"/>
        <v>#DIV/0!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s="5" customFormat="1" x14ac:dyDescent="0.3">
      <c r="A20" s="96" t="s">
        <v>2</v>
      </c>
      <c r="B20" s="96"/>
      <c r="C20" s="96"/>
      <c r="D20" s="18"/>
      <c r="E20" s="18"/>
      <c r="F20" s="20">
        <f t="shared" ref="F20:S20" si="5">F19/F16</f>
        <v>7.096548978276794E-2</v>
      </c>
      <c r="G20" s="20"/>
      <c r="H20" s="20">
        <f t="shared" si="5"/>
        <v>0.3223399163836444</v>
      </c>
      <c r="I20" s="20">
        <f t="shared" si="5"/>
        <v>0.77514482011520347</v>
      </c>
      <c r="J20" s="20">
        <f t="shared" si="5"/>
        <v>0.36826780396996411</v>
      </c>
      <c r="K20" s="20">
        <f t="shared" si="5"/>
        <v>0.29018400103501102</v>
      </c>
      <c r="L20" s="20" t="e">
        <f t="shared" si="5"/>
        <v>#DIV/0!</v>
      </c>
      <c r="M20" s="20">
        <f t="shared" si="5"/>
        <v>0.19035064977636521</v>
      </c>
      <c r="N20" s="20">
        <f t="shared" si="5"/>
        <v>5.4985739922821547E-2</v>
      </c>
      <c r="O20" s="20">
        <f t="shared" si="5"/>
        <v>0.34417001662966068</v>
      </c>
      <c r="P20" s="20">
        <f t="shared" si="5"/>
        <v>0.1125699782357623</v>
      </c>
      <c r="Q20" s="20">
        <f t="shared" si="5"/>
        <v>0.40096038415366148</v>
      </c>
      <c r="R20" s="20" t="e">
        <f t="shared" si="5"/>
        <v>#DIV/0!</v>
      </c>
      <c r="S20" s="20" t="e">
        <f t="shared" si="5"/>
        <v>#DIV/0!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3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9">
    <mergeCell ref="U7:U8"/>
    <mergeCell ref="A20:C20"/>
    <mergeCell ref="A21:S21"/>
    <mergeCell ref="A3:S3"/>
    <mergeCell ref="A15:C15"/>
    <mergeCell ref="A16:C16"/>
    <mergeCell ref="A17:C17"/>
    <mergeCell ref="A18:C18"/>
    <mergeCell ref="A19:C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workbookViewId="0">
      <selection activeCell="A12" sqref="A12"/>
    </sheetView>
  </sheetViews>
  <sheetFormatPr baseColWidth="10" defaultRowHeight="14.4" x14ac:dyDescent="0.3"/>
  <sheetData>
    <row r="1" spans="1:33" s="23" customFormat="1" x14ac:dyDescent="0.3">
      <c r="A1" s="21" t="s">
        <v>30</v>
      </c>
      <c r="B1" s="21"/>
      <c r="C1" s="21"/>
      <c r="D1" s="21"/>
      <c r="E1" s="21"/>
      <c r="F1" s="21"/>
      <c r="G1" s="21"/>
      <c r="H1" s="21"/>
      <c r="I1" s="22"/>
      <c r="J1" s="21"/>
      <c r="K1" s="22"/>
      <c r="L1" s="21"/>
      <c r="M1" s="21"/>
      <c r="N1" s="21"/>
      <c r="O1" s="21"/>
      <c r="P1" s="22"/>
      <c r="Q1" s="39"/>
      <c r="R1" s="21"/>
      <c r="S1" s="21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</row>
    <row r="2" spans="1:33" x14ac:dyDescent="0.3">
      <c r="A2" s="7"/>
      <c r="B2" s="7"/>
      <c r="C2" s="7"/>
      <c r="D2" s="7"/>
      <c r="E2" s="7"/>
      <c r="F2" s="7"/>
      <c r="G2" s="7"/>
      <c r="H2" s="7"/>
      <c r="I2" s="8"/>
      <c r="J2" s="7"/>
      <c r="K2" s="7"/>
      <c r="L2" s="7"/>
      <c r="M2" s="7"/>
      <c r="N2" s="7"/>
      <c r="O2" s="7"/>
      <c r="P2" s="8"/>
      <c r="Q2" s="40"/>
      <c r="R2" s="7"/>
      <c r="S2" s="7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s="24" customFormat="1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s="24" customFormat="1" ht="52.95" customHeight="1" x14ac:dyDescent="0.3">
      <c r="A4" s="25" t="s">
        <v>3</v>
      </c>
      <c r="B4" s="26" t="s">
        <v>4</v>
      </c>
      <c r="C4" s="25" t="s">
        <v>5</v>
      </c>
      <c r="D4" s="25" t="s">
        <v>25</v>
      </c>
      <c r="E4" s="25" t="s">
        <v>10</v>
      </c>
      <c r="F4" s="27" t="s">
        <v>8</v>
      </c>
      <c r="G4" s="27" t="s">
        <v>47</v>
      </c>
      <c r="H4" s="27" t="s">
        <v>9</v>
      </c>
      <c r="I4" s="28" t="s">
        <v>11</v>
      </c>
      <c r="J4" s="28" t="s">
        <v>12</v>
      </c>
      <c r="K4" s="28" t="s">
        <v>13</v>
      </c>
      <c r="L4" s="28" t="s">
        <v>14</v>
      </c>
      <c r="M4" s="28" t="s">
        <v>15</v>
      </c>
      <c r="N4" s="28" t="s">
        <v>16</v>
      </c>
      <c r="O4" s="28" t="s">
        <v>59</v>
      </c>
      <c r="P4" s="28" t="s">
        <v>17</v>
      </c>
      <c r="Q4" s="27" t="s">
        <v>7</v>
      </c>
      <c r="R4" s="27" t="s">
        <v>18</v>
      </c>
      <c r="S4" s="27" t="s">
        <v>19</v>
      </c>
      <c r="T4" s="62" t="s">
        <v>58</v>
      </c>
      <c r="U4" s="62" t="s">
        <v>37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s="24" customFormat="1" x14ac:dyDescent="0.3">
      <c r="A5" s="29" t="s">
        <v>44</v>
      </c>
      <c r="B5" s="64">
        <v>43564</v>
      </c>
      <c r="C5" s="53"/>
      <c r="D5" s="53"/>
      <c r="E5" s="53">
        <v>24.5</v>
      </c>
      <c r="F5" s="53">
        <v>8.06</v>
      </c>
      <c r="G5" s="53">
        <v>1016</v>
      </c>
      <c r="H5" s="53"/>
      <c r="I5" s="53">
        <v>3.4</v>
      </c>
      <c r="J5" s="53">
        <v>75</v>
      </c>
      <c r="K5" s="53">
        <v>17</v>
      </c>
      <c r="L5" s="53"/>
      <c r="M5" s="53">
        <v>6.32</v>
      </c>
      <c r="N5" s="53">
        <v>3.2</v>
      </c>
      <c r="O5" s="53">
        <v>40</v>
      </c>
      <c r="P5" s="53">
        <v>2</v>
      </c>
      <c r="Q5" s="70">
        <v>0</v>
      </c>
      <c r="R5" s="53"/>
      <c r="S5" s="53"/>
      <c r="T5" s="53" t="s">
        <v>34</v>
      </c>
      <c r="U5" s="5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s="24" customFormat="1" ht="28.8" x14ac:dyDescent="0.3">
      <c r="A6" s="34" t="s">
        <v>44</v>
      </c>
      <c r="B6" s="64">
        <v>43571</v>
      </c>
      <c r="C6" s="53" t="s">
        <v>94</v>
      </c>
      <c r="D6" s="53"/>
      <c r="E6" s="53">
        <v>24.01</v>
      </c>
      <c r="F6" s="53">
        <v>8.25</v>
      </c>
      <c r="G6" s="53">
        <v>1030</v>
      </c>
      <c r="H6" s="53">
        <v>30</v>
      </c>
      <c r="I6" s="53">
        <v>7</v>
      </c>
      <c r="J6" s="53">
        <v>85</v>
      </c>
      <c r="K6" s="53">
        <v>64</v>
      </c>
      <c r="L6" s="53">
        <v>29.8</v>
      </c>
      <c r="M6" s="53">
        <v>9.94</v>
      </c>
      <c r="N6" s="53">
        <v>2.6</v>
      </c>
      <c r="O6" s="53">
        <v>58</v>
      </c>
      <c r="P6" s="53">
        <v>3.9</v>
      </c>
      <c r="Q6" s="70">
        <v>0</v>
      </c>
      <c r="R6" s="73" t="s">
        <v>71</v>
      </c>
      <c r="S6" s="53">
        <v>103</v>
      </c>
      <c r="T6" s="53" t="s">
        <v>34</v>
      </c>
      <c r="U6" s="5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s="24" customFormat="1" x14ac:dyDescent="0.3">
      <c r="A7" s="34" t="s">
        <v>44</v>
      </c>
      <c r="B7" s="64">
        <v>43578</v>
      </c>
      <c r="C7" s="53" t="s">
        <v>81</v>
      </c>
      <c r="D7" s="53"/>
      <c r="E7" s="53">
        <v>24.1</v>
      </c>
      <c r="F7" s="53">
        <v>8.08</v>
      </c>
      <c r="G7" s="53">
        <v>1138</v>
      </c>
      <c r="H7" s="53">
        <v>95</v>
      </c>
      <c r="I7" s="53">
        <v>0.3</v>
      </c>
      <c r="J7" s="53">
        <v>83</v>
      </c>
      <c r="K7" s="53">
        <v>20</v>
      </c>
      <c r="L7" s="53"/>
      <c r="M7" s="53">
        <v>8.1300000000000008</v>
      </c>
      <c r="N7" s="53">
        <v>2.9</v>
      </c>
      <c r="O7" s="53">
        <v>70</v>
      </c>
      <c r="P7" s="53">
        <v>1.5</v>
      </c>
      <c r="Q7" s="70">
        <v>0</v>
      </c>
      <c r="R7" s="53"/>
      <c r="S7" s="53"/>
      <c r="T7" s="53" t="s">
        <v>34</v>
      </c>
      <c r="U7" s="5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s="24" customFormat="1" x14ac:dyDescent="0.3">
      <c r="A8" s="29" t="s">
        <v>45</v>
      </c>
      <c r="B8" s="64">
        <v>43586</v>
      </c>
      <c r="C8" s="53" t="s">
        <v>42</v>
      </c>
      <c r="D8" s="53"/>
      <c r="E8" s="53">
        <v>23.7</v>
      </c>
      <c r="F8" s="53">
        <v>7.81</v>
      </c>
      <c r="G8" s="53">
        <v>1192</v>
      </c>
      <c r="H8" s="53">
        <v>110</v>
      </c>
      <c r="I8" s="53">
        <v>3.1</v>
      </c>
      <c r="J8" s="53">
        <v>131</v>
      </c>
      <c r="K8" s="53">
        <v>7</v>
      </c>
      <c r="L8" s="53"/>
      <c r="M8" s="53">
        <v>11.97</v>
      </c>
      <c r="N8" s="53">
        <v>3</v>
      </c>
      <c r="O8" s="53">
        <v>75</v>
      </c>
      <c r="P8" s="53">
        <v>19</v>
      </c>
      <c r="Q8" s="70">
        <v>0</v>
      </c>
      <c r="R8" s="53"/>
      <c r="S8" s="53"/>
      <c r="T8" s="53" t="s">
        <v>34</v>
      </c>
      <c r="U8" s="5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s="24" customFormat="1" x14ac:dyDescent="0.3">
      <c r="A9" s="34" t="s">
        <v>45</v>
      </c>
      <c r="B9" s="64">
        <v>43598</v>
      </c>
      <c r="C9" s="53" t="s">
        <v>95</v>
      </c>
      <c r="D9" s="53"/>
      <c r="E9" s="53">
        <v>25.3</v>
      </c>
      <c r="F9" s="53">
        <v>7.71</v>
      </c>
      <c r="G9" s="53">
        <v>1110</v>
      </c>
      <c r="H9" s="53">
        <v>125</v>
      </c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 t="s">
        <v>36</v>
      </c>
      <c r="U9" s="5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s="24" customFormat="1" x14ac:dyDescent="0.3">
      <c r="A10" s="34" t="s">
        <v>45</v>
      </c>
      <c r="B10" s="63">
        <v>43608</v>
      </c>
      <c r="C10" s="53" t="s">
        <v>96</v>
      </c>
      <c r="D10" s="53"/>
      <c r="E10" s="53">
        <v>24.4</v>
      </c>
      <c r="F10" s="53">
        <v>8.08</v>
      </c>
      <c r="G10" s="53">
        <v>1110</v>
      </c>
      <c r="H10" s="53">
        <v>137</v>
      </c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 t="s">
        <v>36</v>
      </c>
      <c r="U10" s="5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s="24" customFormat="1" x14ac:dyDescent="0.3">
      <c r="A11" s="29" t="s">
        <v>45</v>
      </c>
      <c r="B11" s="63">
        <v>43612</v>
      </c>
      <c r="C11" s="53" t="s">
        <v>97</v>
      </c>
      <c r="D11" s="53"/>
      <c r="E11" s="53">
        <v>25.6</v>
      </c>
      <c r="F11" s="53">
        <v>8.2799999999999994</v>
      </c>
      <c r="G11" s="53">
        <v>1040</v>
      </c>
      <c r="H11" s="53">
        <v>211</v>
      </c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 t="s">
        <v>36</v>
      </c>
      <c r="U11" s="5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s="24" customFormat="1" x14ac:dyDescent="0.3">
      <c r="A12" s="29" t="s">
        <v>111</v>
      </c>
      <c r="B12" s="30">
        <v>43633</v>
      </c>
      <c r="C12" s="25" t="s">
        <v>117</v>
      </c>
      <c r="D12" s="25"/>
      <c r="E12" s="25">
        <v>26.8</v>
      </c>
      <c r="F12" s="25">
        <v>7.67</v>
      </c>
      <c r="G12" s="25">
        <v>812</v>
      </c>
      <c r="H12" s="25">
        <v>167</v>
      </c>
      <c r="I12" s="31"/>
      <c r="J12" s="25"/>
      <c r="K12" s="31"/>
      <c r="L12" s="25"/>
      <c r="M12" s="25"/>
      <c r="N12" s="25"/>
      <c r="O12" s="25"/>
      <c r="P12" s="31"/>
      <c r="Q12" s="41"/>
      <c r="R12" s="32"/>
      <c r="S12" s="35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s="24" customFormat="1" x14ac:dyDescent="0.3">
      <c r="A13" s="29"/>
      <c r="B13" s="30"/>
      <c r="C13" s="25"/>
      <c r="D13" s="25"/>
      <c r="E13" s="25"/>
      <c r="F13" s="25"/>
      <c r="G13" s="25"/>
      <c r="H13" s="25"/>
      <c r="I13" s="31"/>
      <c r="J13" s="25"/>
      <c r="K13" s="31"/>
      <c r="L13" s="25"/>
      <c r="M13" s="25"/>
      <c r="N13" s="25"/>
      <c r="O13" s="25"/>
      <c r="P13" s="31"/>
      <c r="Q13" s="41"/>
      <c r="R13" s="35"/>
      <c r="S13" s="35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3">
      <c r="A14" s="10"/>
      <c r="B14" s="11"/>
      <c r="C14" s="9"/>
      <c r="D14" s="9"/>
      <c r="E14" s="9"/>
      <c r="F14" s="9"/>
      <c r="G14" s="9"/>
      <c r="H14" s="9"/>
      <c r="I14" s="12"/>
      <c r="J14" s="9"/>
      <c r="K14" s="12"/>
      <c r="L14" s="9"/>
      <c r="M14" s="9"/>
      <c r="N14" s="9"/>
      <c r="O14" s="9"/>
      <c r="P14" s="12"/>
      <c r="Q14" s="42"/>
      <c r="R14" s="13"/>
      <c r="S14" s="14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3">
      <c r="A15" s="94" t="s">
        <v>0</v>
      </c>
      <c r="B15" s="94"/>
      <c r="C15" s="94"/>
      <c r="D15" s="15"/>
      <c r="E15" s="15"/>
      <c r="F15" s="15">
        <f t="shared" ref="F15:S15" si="0">COUNT(F5:F14)</f>
        <v>8</v>
      </c>
      <c r="G15" s="48"/>
      <c r="H15" s="15">
        <f t="shared" si="0"/>
        <v>7</v>
      </c>
      <c r="I15" s="15">
        <f t="shared" si="0"/>
        <v>4</v>
      </c>
      <c r="J15" s="15">
        <f t="shared" si="0"/>
        <v>4</v>
      </c>
      <c r="K15" s="15">
        <f t="shared" si="0"/>
        <v>4</v>
      </c>
      <c r="L15" s="15">
        <f t="shared" si="0"/>
        <v>1</v>
      </c>
      <c r="M15" s="15">
        <f t="shared" si="0"/>
        <v>4</v>
      </c>
      <c r="N15" s="15">
        <f t="shared" si="0"/>
        <v>4</v>
      </c>
      <c r="O15" s="15">
        <f t="shared" si="0"/>
        <v>4</v>
      </c>
      <c r="P15" s="15">
        <f t="shared" si="0"/>
        <v>4</v>
      </c>
      <c r="Q15" s="15">
        <f t="shared" si="0"/>
        <v>4</v>
      </c>
      <c r="R15" s="15">
        <f t="shared" si="0"/>
        <v>0</v>
      </c>
      <c r="S15" s="15">
        <f t="shared" si="0"/>
        <v>1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s="6" customFormat="1" x14ac:dyDescent="0.3">
      <c r="A16" s="95" t="s">
        <v>20</v>
      </c>
      <c r="B16" s="95"/>
      <c r="C16" s="95"/>
      <c r="D16" s="16"/>
      <c r="E16" s="16"/>
      <c r="F16" s="16">
        <f>AVERAGE(F5:F14)</f>
        <v>7.9925000000000006</v>
      </c>
      <c r="G16" s="49"/>
      <c r="H16" s="16">
        <f t="shared" ref="H16:S16" si="1">AVERAGE(H5:H14)</f>
        <v>125</v>
      </c>
      <c r="I16" s="16">
        <f t="shared" si="1"/>
        <v>3.45</v>
      </c>
      <c r="J16" s="16">
        <f t="shared" si="1"/>
        <v>93.5</v>
      </c>
      <c r="K16" s="16">
        <f t="shared" si="1"/>
        <v>27</v>
      </c>
      <c r="L16" s="16">
        <f t="shared" si="1"/>
        <v>29.8</v>
      </c>
      <c r="M16" s="16">
        <f t="shared" si="1"/>
        <v>9.09</v>
      </c>
      <c r="N16" s="16">
        <f t="shared" si="1"/>
        <v>2.9250000000000003</v>
      </c>
      <c r="O16" s="16">
        <f t="shared" si="1"/>
        <v>60.75</v>
      </c>
      <c r="P16" s="16">
        <f t="shared" si="1"/>
        <v>6.6</v>
      </c>
      <c r="Q16" s="43">
        <f t="shared" si="1"/>
        <v>0</v>
      </c>
      <c r="R16" s="16" t="e">
        <f t="shared" si="1"/>
        <v>#DIV/0!</v>
      </c>
      <c r="S16" s="16">
        <f t="shared" si="1"/>
        <v>103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s="4" customFormat="1" x14ac:dyDescent="0.3">
      <c r="A17" s="92" t="s">
        <v>21</v>
      </c>
      <c r="B17" s="92"/>
      <c r="C17" s="92"/>
      <c r="D17" s="17"/>
      <c r="E17" s="17"/>
      <c r="F17" s="17">
        <f>MAX(F5:F14)</f>
        <v>8.2799999999999994</v>
      </c>
      <c r="G17" s="51"/>
      <c r="H17" s="17">
        <f t="shared" ref="H17:S17" si="2">MAX(H5:H14)</f>
        <v>211</v>
      </c>
      <c r="I17" s="17">
        <f t="shared" si="2"/>
        <v>7</v>
      </c>
      <c r="J17" s="17">
        <f t="shared" si="2"/>
        <v>131</v>
      </c>
      <c r="K17" s="17">
        <f t="shared" si="2"/>
        <v>64</v>
      </c>
      <c r="L17" s="17">
        <f t="shared" si="2"/>
        <v>29.8</v>
      </c>
      <c r="M17" s="17">
        <f t="shared" si="2"/>
        <v>11.97</v>
      </c>
      <c r="N17" s="17">
        <f t="shared" si="2"/>
        <v>3.2</v>
      </c>
      <c r="O17" s="17">
        <f t="shared" si="2"/>
        <v>75</v>
      </c>
      <c r="P17" s="17">
        <f t="shared" si="2"/>
        <v>19</v>
      </c>
      <c r="Q17" s="44">
        <f t="shared" si="2"/>
        <v>0</v>
      </c>
      <c r="R17" s="17">
        <f t="shared" si="2"/>
        <v>0</v>
      </c>
      <c r="S17" s="17">
        <f t="shared" si="2"/>
        <v>103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s="4" customFormat="1" x14ac:dyDescent="0.3">
      <c r="A18" s="92" t="s">
        <v>22</v>
      </c>
      <c r="B18" s="92"/>
      <c r="C18" s="92"/>
      <c r="D18" s="17"/>
      <c r="E18" s="17"/>
      <c r="F18" s="17">
        <f>MIN(F5:F14)</f>
        <v>7.67</v>
      </c>
      <c r="G18" s="51"/>
      <c r="H18" s="17">
        <f t="shared" ref="H18:S18" si="3">MIN(H5:H14)</f>
        <v>30</v>
      </c>
      <c r="I18" s="17">
        <f t="shared" si="3"/>
        <v>0.3</v>
      </c>
      <c r="J18" s="17">
        <f t="shared" si="3"/>
        <v>75</v>
      </c>
      <c r="K18" s="17">
        <f t="shared" si="3"/>
        <v>7</v>
      </c>
      <c r="L18" s="17">
        <f t="shared" si="3"/>
        <v>29.8</v>
      </c>
      <c r="M18" s="17">
        <f t="shared" si="3"/>
        <v>6.32</v>
      </c>
      <c r="N18" s="17">
        <f t="shared" si="3"/>
        <v>2.6</v>
      </c>
      <c r="O18" s="17">
        <f t="shared" si="3"/>
        <v>40</v>
      </c>
      <c r="P18" s="17">
        <f t="shared" si="3"/>
        <v>1.5</v>
      </c>
      <c r="Q18" s="44">
        <f t="shared" si="3"/>
        <v>0</v>
      </c>
      <c r="R18" s="17">
        <f t="shared" si="3"/>
        <v>0</v>
      </c>
      <c r="S18" s="17">
        <f t="shared" si="3"/>
        <v>103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s="5" customFormat="1" x14ac:dyDescent="0.3">
      <c r="A19" s="96" t="s">
        <v>1</v>
      </c>
      <c r="B19" s="96"/>
      <c r="C19" s="96"/>
      <c r="D19" s="18"/>
      <c r="E19" s="18"/>
      <c r="F19" s="19">
        <f t="shared" ref="F19:S19" si="4">STDEV(F5:F14)</f>
        <v>0.23480995354906545</v>
      </c>
      <c r="G19" s="19"/>
      <c r="H19" s="19">
        <f t="shared" si="4"/>
        <v>56.941490438285278</v>
      </c>
      <c r="I19" s="19">
        <f t="shared" si="4"/>
        <v>2.7477263328068173</v>
      </c>
      <c r="J19" s="19">
        <f t="shared" si="4"/>
        <v>25.37058664411737</v>
      </c>
      <c r="K19" s="19">
        <f t="shared" si="4"/>
        <v>25.285041691350507</v>
      </c>
      <c r="L19" s="19" t="e">
        <f t="shared" si="4"/>
        <v>#DIV/0!</v>
      </c>
      <c r="M19" s="19">
        <f t="shared" si="4"/>
        <v>2.4229045929765061</v>
      </c>
      <c r="N19" s="19">
        <f t="shared" si="4"/>
        <v>0.25</v>
      </c>
      <c r="O19" s="19">
        <f t="shared" si="4"/>
        <v>15.56438241627338</v>
      </c>
      <c r="P19" s="19">
        <f t="shared" si="4"/>
        <v>8.3310663583161233</v>
      </c>
      <c r="Q19" s="19">
        <f t="shared" si="4"/>
        <v>0</v>
      </c>
      <c r="R19" s="19" t="e">
        <f t="shared" si="4"/>
        <v>#DIV/0!</v>
      </c>
      <c r="S19" s="19" t="e">
        <f t="shared" si="4"/>
        <v>#DIV/0!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s="5" customFormat="1" x14ac:dyDescent="0.3">
      <c r="A20" s="96" t="s">
        <v>2</v>
      </c>
      <c r="B20" s="96"/>
      <c r="C20" s="96"/>
      <c r="D20" s="18"/>
      <c r="E20" s="18"/>
      <c r="F20" s="20">
        <f t="shared" ref="F20:S20" si="5">F19/F16</f>
        <v>2.9378786806264053E-2</v>
      </c>
      <c r="G20" s="20"/>
      <c r="H20" s="20">
        <f t="shared" si="5"/>
        <v>0.45553192350628224</v>
      </c>
      <c r="I20" s="20">
        <f t="shared" si="5"/>
        <v>0.79644241530632387</v>
      </c>
      <c r="J20" s="20">
        <f t="shared" si="5"/>
        <v>0.27134317266435692</v>
      </c>
      <c r="K20" s="20">
        <f t="shared" si="5"/>
        <v>0.93648302560557439</v>
      </c>
      <c r="L20" s="20" t="e">
        <f t="shared" si="5"/>
        <v>#DIV/0!</v>
      </c>
      <c r="M20" s="20">
        <f t="shared" si="5"/>
        <v>0.26654615984340002</v>
      </c>
      <c r="N20" s="20">
        <f t="shared" si="5"/>
        <v>8.5470085470085458E-2</v>
      </c>
      <c r="O20" s="20">
        <f t="shared" si="5"/>
        <v>0.25620382578227785</v>
      </c>
      <c r="P20" s="20">
        <f t="shared" si="5"/>
        <v>1.2622827815630491</v>
      </c>
      <c r="Q20" s="20" t="e">
        <f t="shared" si="5"/>
        <v>#DIV/0!</v>
      </c>
      <c r="R20" s="20" t="e">
        <f t="shared" si="5"/>
        <v>#DIV/0!</v>
      </c>
      <c r="S20" s="20" t="e">
        <f t="shared" si="5"/>
        <v>#DIV/0!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3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8">
    <mergeCell ref="A20:C20"/>
    <mergeCell ref="A21:S21"/>
    <mergeCell ref="A3:S3"/>
    <mergeCell ref="A15:C15"/>
    <mergeCell ref="A16:C16"/>
    <mergeCell ref="A17:C17"/>
    <mergeCell ref="A18:C18"/>
    <mergeCell ref="A19:C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topLeftCell="A4" workbookViewId="0">
      <selection activeCell="E11" sqref="E11"/>
    </sheetView>
  </sheetViews>
  <sheetFormatPr baseColWidth="10" defaultRowHeight="14.4" x14ac:dyDescent="0.3"/>
  <cols>
    <col min="18" max="18" width="8.44140625" customWidth="1"/>
  </cols>
  <sheetData>
    <row r="1" spans="1:33" s="23" customFormat="1" x14ac:dyDescent="0.3">
      <c r="A1" s="21" t="s">
        <v>84</v>
      </c>
      <c r="B1" s="21"/>
      <c r="C1" s="21"/>
      <c r="D1" s="21"/>
      <c r="E1" s="21"/>
      <c r="F1" s="21"/>
      <c r="G1" s="21"/>
      <c r="H1" s="21"/>
      <c r="I1" s="22"/>
      <c r="J1" s="21"/>
      <c r="K1" s="22"/>
      <c r="L1" s="21"/>
      <c r="M1" s="21"/>
      <c r="N1" s="21"/>
      <c r="O1" s="21"/>
      <c r="P1" s="22"/>
      <c r="Q1" s="39"/>
      <c r="R1" s="21"/>
      <c r="S1" s="21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</row>
    <row r="2" spans="1:33" x14ac:dyDescent="0.3">
      <c r="A2" s="7"/>
      <c r="B2" s="7"/>
      <c r="C2" s="7"/>
      <c r="D2" s="7"/>
      <c r="E2" s="7"/>
      <c r="F2" s="7"/>
      <c r="G2" s="7"/>
      <c r="H2" s="7"/>
      <c r="I2" s="8"/>
      <c r="J2" s="7"/>
      <c r="K2" s="7"/>
      <c r="L2" s="7"/>
      <c r="M2" s="7"/>
      <c r="N2" s="7"/>
      <c r="O2" s="7"/>
      <c r="P2" s="8"/>
      <c r="Q2" s="40"/>
      <c r="R2" s="7"/>
      <c r="S2" s="7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s="24" customFormat="1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s="24" customFormat="1" ht="52.95" customHeight="1" x14ac:dyDescent="0.3">
      <c r="A4" s="27" t="s">
        <v>3</v>
      </c>
      <c r="B4" s="65" t="s">
        <v>4</v>
      </c>
      <c r="C4" s="27" t="s">
        <v>5</v>
      </c>
      <c r="D4" s="27" t="s">
        <v>25</v>
      </c>
      <c r="E4" s="27" t="s">
        <v>10</v>
      </c>
      <c r="F4" s="27" t="s">
        <v>8</v>
      </c>
      <c r="G4" s="27" t="s">
        <v>47</v>
      </c>
      <c r="H4" s="27" t="s">
        <v>9</v>
      </c>
      <c r="I4" s="28" t="s">
        <v>11</v>
      </c>
      <c r="J4" s="28" t="s">
        <v>12</v>
      </c>
      <c r="K4" s="28" t="s">
        <v>13</v>
      </c>
      <c r="L4" s="28" t="s">
        <v>14</v>
      </c>
      <c r="M4" s="28" t="s">
        <v>15</v>
      </c>
      <c r="N4" s="28" t="s">
        <v>16</v>
      </c>
      <c r="O4" s="28" t="s">
        <v>59</v>
      </c>
      <c r="P4" s="28" t="s">
        <v>17</v>
      </c>
      <c r="Q4" s="27" t="s">
        <v>7</v>
      </c>
      <c r="R4" s="27" t="s">
        <v>18</v>
      </c>
      <c r="S4" s="27" t="s">
        <v>19</v>
      </c>
      <c r="T4" s="62" t="s">
        <v>58</v>
      </c>
      <c r="U4" s="62" t="s">
        <v>37</v>
      </c>
      <c r="V4" s="120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s="24" customFormat="1" x14ac:dyDescent="0.3">
      <c r="A5" s="34" t="s">
        <v>45</v>
      </c>
      <c r="B5" s="64">
        <v>43608</v>
      </c>
      <c r="C5" s="53" t="s">
        <v>98</v>
      </c>
      <c r="D5" s="53"/>
      <c r="E5" s="53">
        <v>24.2</v>
      </c>
      <c r="F5" s="53">
        <v>8.09</v>
      </c>
      <c r="G5" s="53">
        <v>1172</v>
      </c>
      <c r="H5" s="53">
        <v>133</v>
      </c>
      <c r="I5" s="53"/>
      <c r="J5" s="53"/>
      <c r="K5" s="53"/>
      <c r="L5" s="53"/>
      <c r="M5" s="53"/>
      <c r="N5" s="53"/>
      <c r="O5" s="53"/>
      <c r="P5" s="53"/>
      <c r="Q5" s="87"/>
      <c r="R5" s="87"/>
      <c r="S5" s="87"/>
      <c r="T5" s="87" t="s">
        <v>36</v>
      </c>
      <c r="U5" s="87" t="s">
        <v>99</v>
      </c>
      <c r="V5" s="120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s="24" customFormat="1" x14ac:dyDescent="0.3">
      <c r="A6" s="34" t="s">
        <v>45</v>
      </c>
      <c r="B6" s="64">
        <v>43612</v>
      </c>
      <c r="C6" s="53" t="s">
        <v>95</v>
      </c>
      <c r="D6" s="53"/>
      <c r="E6" s="53">
        <v>23.4</v>
      </c>
      <c r="F6" s="53">
        <v>8.17</v>
      </c>
      <c r="G6" s="53">
        <v>1083</v>
      </c>
      <c r="H6" s="53">
        <v>174</v>
      </c>
      <c r="I6" s="53"/>
      <c r="J6" s="53"/>
      <c r="K6" s="53"/>
      <c r="L6" s="53"/>
      <c r="M6" s="53"/>
      <c r="N6" s="53"/>
      <c r="O6" s="53"/>
      <c r="P6" s="53"/>
      <c r="Q6" s="87"/>
      <c r="R6" s="87"/>
      <c r="S6" s="87"/>
      <c r="T6" s="87" t="s">
        <v>36</v>
      </c>
      <c r="U6" s="87"/>
      <c r="V6" s="120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s="24" customFormat="1" x14ac:dyDescent="0.3">
      <c r="A7" s="34" t="s">
        <v>111</v>
      </c>
      <c r="B7" s="30">
        <v>43633</v>
      </c>
      <c r="C7" s="27" t="s">
        <v>118</v>
      </c>
      <c r="D7" s="27"/>
      <c r="E7" s="27">
        <v>26.5</v>
      </c>
      <c r="F7" s="27">
        <v>7.68</v>
      </c>
      <c r="G7" s="27">
        <v>893</v>
      </c>
      <c r="H7" s="27">
        <v>165</v>
      </c>
      <c r="I7" s="118"/>
      <c r="J7" s="27"/>
      <c r="K7" s="118"/>
      <c r="L7" s="27"/>
      <c r="M7" s="27"/>
      <c r="N7" s="27"/>
      <c r="O7" s="27"/>
      <c r="P7" s="118"/>
      <c r="Q7" s="28"/>
      <c r="R7" s="33"/>
      <c r="S7" s="119"/>
      <c r="T7" s="120"/>
      <c r="U7" s="120"/>
      <c r="V7" s="120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s="24" customFormat="1" x14ac:dyDescent="0.3">
      <c r="A8" s="29"/>
      <c r="B8" s="25"/>
      <c r="C8" s="25"/>
      <c r="D8" s="25"/>
      <c r="E8" s="25"/>
      <c r="F8" s="25"/>
      <c r="G8" s="25"/>
      <c r="H8" s="25"/>
      <c r="I8" s="31"/>
      <c r="J8" s="25"/>
      <c r="K8" s="31"/>
      <c r="L8" s="25"/>
      <c r="M8" s="25"/>
      <c r="N8" s="25"/>
      <c r="O8" s="25"/>
      <c r="P8" s="31"/>
      <c r="Q8" s="41"/>
      <c r="R8" s="35"/>
      <c r="S8" s="32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s="24" customFormat="1" x14ac:dyDescent="0.3">
      <c r="A9" s="34"/>
      <c r="B9" s="30"/>
      <c r="C9" s="25"/>
      <c r="D9" s="25"/>
      <c r="E9" s="25"/>
      <c r="F9" s="25"/>
      <c r="G9" s="25"/>
      <c r="H9" s="25"/>
      <c r="I9" s="31"/>
      <c r="J9" s="25"/>
      <c r="K9" s="31"/>
      <c r="L9" s="25"/>
      <c r="M9" s="25"/>
      <c r="N9" s="25"/>
      <c r="O9" s="25"/>
      <c r="P9" s="31"/>
      <c r="Q9" s="41"/>
      <c r="R9" s="35"/>
      <c r="S9" s="32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s="24" customFormat="1" x14ac:dyDescent="0.3">
      <c r="A10" s="34"/>
      <c r="B10" s="30"/>
      <c r="C10" s="25"/>
      <c r="D10" s="25"/>
      <c r="E10" s="25"/>
      <c r="F10" s="25"/>
      <c r="G10" s="25"/>
      <c r="H10" s="25"/>
      <c r="I10" s="31"/>
      <c r="J10" s="25"/>
      <c r="K10" s="31"/>
      <c r="L10" s="25"/>
      <c r="M10" s="25"/>
      <c r="N10" s="25"/>
      <c r="O10" s="25"/>
      <c r="P10" s="31"/>
      <c r="Q10" s="41"/>
      <c r="R10" s="35"/>
      <c r="S10" s="32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s="24" customFormat="1" x14ac:dyDescent="0.3">
      <c r="A11" s="29"/>
      <c r="B11" s="30"/>
      <c r="C11" s="25"/>
      <c r="D11" s="25"/>
      <c r="E11" s="25"/>
      <c r="F11" s="25"/>
      <c r="G11" s="25"/>
      <c r="H11" s="25"/>
      <c r="I11" s="31"/>
      <c r="J11" s="25"/>
      <c r="K11" s="31"/>
      <c r="L11" s="25"/>
      <c r="M11" s="25"/>
      <c r="N11" s="25"/>
      <c r="O11" s="25"/>
      <c r="P11" s="31"/>
      <c r="Q11" s="41"/>
      <c r="R11" s="32"/>
      <c r="S11" s="35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s="24" customFormat="1" x14ac:dyDescent="0.3">
      <c r="A12" s="29"/>
      <c r="B12" s="30"/>
      <c r="C12" s="25"/>
      <c r="D12" s="25"/>
      <c r="E12" s="25"/>
      <c r="F12" s="25"/>
      <c r="G12" s="25"/>
      <c r="H12" s="25"/>
      <c r="I12" s="31"/>
      <c r="J12" s="25"/>
      <c r="K12" s="31"/>
      <c r="L12" s="25"/>
      <c r="M12" s="25"/>
      <c r="N12" s="25"/>
      <c r="O12" s="25"/>
      <c r="P12" s="31"/>
      <c r="Q12" s="41"/>
      <c r="R12" s="32"/>
      <c r="S12" s="35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s="24" customFormat="1" x14ac:dyDescent="0.3">
      <c r="A13" s="29"/>
      <c r="B13" s="30"/>
      <c r="C13" s="25"/>
      <c r="D13" s="25"/>
      <c r="E13" s="25"/>
      <c r="F13" s="25"/>
      <c r="G13" s="25"/>
      <c r="H13" s="25"/>
      <c r="I13" s="31"/>
      <c r="J13" s="25"/>
      <c r="K13" s="31"/>
      <c r="L13" s="25"/>
      <c r="M13" s="25"/>
      <c r="N13" s="25"/>
      <c r="O13" s="25"/>
      <c r="P13" s="31"/>
      <c r="Q13" s="41"/>
      <c r="R13" s="35"/>
      <c r="S13" s="35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3">
      <c r="A14" s="10"/>
      <c r="B14" s="11"/>
      <c r="C14" s="9"/>
      <c r="D14" s="9"/>
      <c r="E14" s="9"/>
      <c r="F14" s="9"/>
      <c r="G14" s="9"/>
      <c r="H14" s="9"/>
      <c r="I14" s="12"/>
      <c r="J14" s="9"/>
      <c r="K14" s="12"/>
      <c r="L14" s="9"/>
      <c r="M14" s="9"/>
      <c r="N14" s="9"/>
      <c r="O14" s="9"/>
      <c r="P14" s="12"/>
      <c r="Q14" s="42"/>
      <c r="R14" s="13"/>
      <c r="S14" s="14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3">
      <c r="A15" s="94" t="s">
        <v>0</v>
      </c>
      <c r="B15" s="94"/>
      <c r="C15" s="94"/>
      <c r="D15" s="15"/>
      <c r="E15" s="15"/>
      <c r="F15" s="15">
        <f t="shared" ref="F15:S15" si="0">COUNT(F5:F14)</f>
        <v>3</v>
      </c>
      <c r="G15" s="48"/>
      <c r="H15" s="15">
        <f t="shared" si="0"/>
        <v>3</v>
      </c>
      <c r="I15" s="15">
        <f t="shared" si="0"/>
        <v>0</v>
      </c>
      <c r="J15" s="15">
        <f t="shared" si="0"/>
        <v>0</v>
      </c>
      <c r="K15" s="15">
        <f t="shared" si="0"/>
        <v>0</v>
      </c>
      <c r="L15" s="15">
        <f t="shared" si="0"/>
        <v>0</v>
      </c>
      <c r="M15" s="15">
        <f t="shared" si="0"/>
        <v>0</v>
      </c>
      <c r="N15" s="15">
        <f t="shared" si="0"/>
        <v>0</v>
      </c>
      <c r="O15" s="15">
        <f t="shared" si="0"/>
        <v>0</v>
      </c>
      <c r="P15" s="15">
        <f t="shared" si="0"/>
        <v>0</v>
      </c>
      <c r="Q15" s="15">
        <f t="shared" si="0"/>
        <v>0</v>
      </c>
      <c r="R15" s="15">
        <f t="shared" si="0"/>
        <v>0</v>
      </c>
      <c r="S15" s="15">
        <f t="shared" si="0"/>
        <v>0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s="6" customFormat="1" x14ac:dyDescent="0.3">
      <c r="A16" s="95" t="s">
        <v>20</v>
      </c>
      <c r="B16" s="95"/>
      <c r="C16" s="95"/>
      <c r="D16" s="16"/>
      <c r="E16" s="16"/>
      <c r="F16" s="16">
        <f>AVERAGE(F5:F14)</f>
        <v>7.9799999999999995</v>
      </c>
      <c r="G16" s="49"/>
      <c r="H16" s="16">
        <f t="shared" ref="H16:S16" si="1">AVERAGE(H5:H14)</f>
        <v>157.33333333333334</v>
      </c>
      <c r="I16" s="16" t="e">
        <f t="shared" si="1"/>
        <v>#DIV/0!</v>
      </c>
      <c r="J16" s="16" t="e">
        <f t="shared" si="1"/>
        <v>#DIV/0!</v>
      </c>
      <c r="K16" s="16" t="e">
        <f t="shared" si="1"/>
        <v>#DIV/0!</v>
      </c>
      <c r="L16" s="16" t="e">
        <f t="shared" si="1"/>
        <v>#DIV/0!</v>
      </c>
      <c r="M16" s="16" t="e">
        <f t="shared" si="1"/>
        <v>#DIV/0!</v>
      </c>
      <c r="N16" s="16" t="e">
        <f t="shared" si="1"/>
        <v>#DIV/0!</v>
      </c>
      <c r="O16" s="16" t="e">
        <f t="shared" si="1"/>
        <v>#DIV/0!</v>
      </c>
      <c r="P16" s="16" t="e">
        <f t="shared" si="1"/>
        <v>#DIV/0!</v>
      </c>
      <c r="Q16" s="43" t="e">
        <f t="shared" si="1"/>
        <v>#DIV/0!</v>
      </c>
      <c r="R16" s="16" t="e">
        <f t="shared" si="1"/>
        <v>#DIV/0!</v>
      </c>
      <c r="S16" s="16" t="e">
        <f t="shared" si="1"/>
        <v>#DIV/0!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s="4" customFormat="1" x14ac:dyDescent="0.3">
      <c r="A17" s="92" t="s">
        <v>21</v>
      </c>
      <c r="B17" s="92"/>
      <c r="C17" s="92"/>
      <c r="D17" s="17"/>
      <c r="E17" s="17"/>
      <c r="F17" s="17">
        <f>MAX(F5:F14)</f>
        <v>8.17</v>
      </c>
      <c r="G17" s="51"/>
      <c r="H17" s="17">
        <f t="shared" ref="H17:S17" si="2">MAX(H5:H14)</f>
        <v>174</v>
      </c>
      <c r="I17" s="17">
        <f t="shared" si="2"/>
        <v>0</v>
      </c>
      <c r="J17" s="17">
        <f t="shared" si="2"/>
        <v>0</v>
      </c>
      <c r="K17" s="17">
        <f t="shared" si="2"/>
        <v>0</v>
      </c>
      <c r="L17" s="17">
        <f t="shared" si="2"/>
        <v>0</v>
      </c>
      <c r="M17" s="17">
        <f t="shared" si="2"/>
        <v>0</v>
      </c>
      <c r="N17" s="17">
        <f t="shared" si="2"/>
        <v>0</v>
      </c>
      <c r="O17" s="17">
        <f t="shared" si="2"/>
        <v>0</v>
      </c>
      <c r="P17" s="17">
        <f t="shared" si="2"/>
        <v>0</v>
      </c>
      <c r="Q17" s="44">
        <f t="shared" si="2"/>
        <v>0</v>
      </c>
      <c r="R17" s="17">
        <f t="shared" si="2"/>
        <v>0</v>
      </c>
      <c r="S17" s="17">
        <f t="shared" si="2"/>
        <v>0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s="4" customFormat="1" x14ac:dyDescent="0.3">
      <c r="A18" s="92" t="s">
        <v>22</v>
      </c>
      <c r="B18" s="92"/>
      <c r="C18" s="92"/>
      <c r="D18" s="17"/>
      <c r="E18" s="17"/>
      <c r="F18" s="17">
        <f>MIN(F5:F14)</f>
        <v>7.68</v>
      </c>
      <c r="G18" s="51"/>
      <c r="H18" s="17">
        <f t="shared" ref="H18:S18" si="3">MIN(H5:H14)</f>
        <v>133</v>
      </c>
      <c r="I18" s="17">
        <f t="shared" si="3"/>
        <v>0</v>
      </c>
      <c r="J18" s="17">
        <f t="shared" si="3"/>
        <v>0</v>
      </c>
      <c r="K18" s="17">
        <f t="shared" si="3"/>
        <v>0</v>
      </c>
      <c r="L18" s="17">
        <f t="shared" si="3"/>
        <v>0</v>
      </c>
      <c r="M18" s="17">
        <f t="shared" si="3"/>
        <v>0</v>
      </c>
      <c r="N18" s="17">
        <f t="shared" si="3"/>
        <v>0</v>
      </c>
      <c r="O18" s="17">
        <f t="shared" si="3"/>
        <v>0</v>
      </c>
      <c r="P18" s="17">
        <f t="shared" si="3"/>
        <v>0</v>
      </c>
      <c r="Q18" s="44">
        <f t="shared" si="3"/>
        <v>0</v>
      </c>
      <c r="R18" s="17">
        <f t="shared" si="3"/>
        <v>0</v>
      </c>
      <c r="S18" s="17">
        <f t="shared" si="3"/>
        <v>0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s="5" customFormat="1" x14ac:dyDescent="0.3">
      <c r="A19" s="96" t="s">
        <v>1</v>
      </c>
      <c r="B19" s="96"/>
      <c r="C19" s="96"/>
      <c r="D19" s="18"/>
      <c r="E19" s="18"/>
      <c r="F19" s="19">
        <f t="shared" ref="F19:S19" si="4">STDEV(F5:F14)</f>
        <v>0.26286878856189838</v>
      </c>
      <c r="G19" s="19"/>
      <c r="H19" s="19">
        <f t="shared" si="4"/>
        <v>21.548395145192035</v>
      </c>
      <c r="I19" s="19" t="e">
        <f t="shared" si="4"/>
        <v>#DIV/0!</v>
      </c>
      <c r="J19" s="19" t="e">
        <f t="shared" si="4"/>
        <v>#DIV/0!</v>
      </c>
      <c r="K19" s="19" t="e">
        <f t="shared" si="4"/>
        <v>#DIV/0!</v>
      </c>
      <c r="L19" s="19" t="e">
        <f t="shared" si="4"/>
        <v>#DIV/0!</v>
      </c>
      <c r="M19" s="19" t="e">
        <f t="shared" si="4"/>
        <v>#DIV/0!</v>
      </c>
      <c r="N19" s="19" t="e">
        <f t="shared" si="4"/>
        <v>#DIV/0!</v>
      </c>
      <c r="O19" s="19" t="e">
        <f t="shared" si="4"/>
        <v>#DIV/0!</v>
      </c>
      <c r="P19" s="19" t="e">
        <f t="shared" si="4"/>
        <v>#DIV/0!</v>
      </c>
      <c r="Q19" s="19" t="e">
        <f t="shared" si="4"/>
        <v>#DIV/0!</v>
      </c>
      <c r="R19" s="19" t="e">
        <f t="shared" si="4"/>
        <v>#DIV/0!</v>
      </c>
      <c r="S19" s="19" t="e">
        <f t="shared" si="4"/>
        <v>#DIV/0!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s="5" customFormat="1" x14ac:dyDescent="0.3">
      <c r="A20" s="96" t="s">
        <v>2</v>
      </c>
      <c r="B20" s="96"/>
      <c r="C20" s="96"/>
      <c r="D20" s="18"/>
      <c r="E20" s="18"/>
      <c r="F20" s="20">
        <f t="shared" ref="F20:S20" si="5">F19/F16</f>
        <v>3.2940950947606316E-2</v>
      </c>
      <c r="G20" s="20"/>
      <c r="H20" s="20">
        <f t="shared" si="5"/>
        <v>0.13696013863469514</v>
      </c>
      <c r="I20" s="20" t="e">
        <f t="shared" si="5"/>
        <v>#DIV/0!</v>
      </c>
      <c r="J20" s="20" t="e">
        <f t="shared" si="5"/>
        <v>#DIV/0!</v>
      </c>
      <c r="K20" s="20" t="e">
        <f t="shared" si="5"/>
        <v>#DIV/0!</v>
      </c>
      <c r="L20" s="20" t="e">
        <f t="shared" si="5"/>
        <v>#DIV/0!</v>
      </c>
      <c r="M20" s="20" t="e">
        <f t="shared" si="5"/>
        <v>#DIV/0!</v>
      </c>
      <c r="N20" s="20" t="e">
        <f t="shared" si="5"/>
        <v>#DIV/0!</v>
      </c>
      <c r="O20" s="20" t="e">
        <f t="shared" si="5"/>
        <v>#DIV/0!</v>
      </c>
      <c r="P20" s="20" t="e">
        <f t="shared" si="5"/>
        <v>#DIV/0!</v>
      </c>
      <c r="Q20" s="20" t="e">
        <f t="shared" si="5"/>
        <v>#DIV/0!</v>
      </c>
      <c r="R20" s="20" t="e">
        <f t="shared" si="5"/>
        <v>#DIV/0!</v>
      </c>
      <c r="S20" s="20" t="e">
        <f t="shared" si="5"/>
        <v>#DIV/0!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3">
      <c r="A21" s="91"/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8">
    <mergeCell ref="A20:C20"/>
    <mergeCell ref="A21:S21"/>
    <mergeCell ref="A3:S3"/>
    <mergeCell ref="A15:C15"/>
    <mergeCell ref="A16:C16"/>
    <mergeCell ref="A17:C17"/>
    <mergeCell ref="A18:C18"/>
    <mergeCell ref="A19:C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opLeftCell="A2" workbookViewId="0">
      <selection activeCell="L13" sqref="L13"/>
    </sheetView>
  </sheetViews>
  <sheetFormatPr baseColWidth="10" defaultRowHeight="14.4" x14ac:dyDescent="0.3"/>
  <sheetData>
    <row r="1" spans="1:11" x14ac:dyDescent="0.3">
      <c r="C1" s="113" t="s">
        <v>100</v>
      </c>
      <c r="D1" s="113"/>
      <c r="E1" s="113"/>
      <c r="F1" s="113"/>
      <c r="G1" s="113"/>
      <c r="H1" s="113"/>
      <c r="I1" s="113"/>
      <c r="J1" s="113"/>
      <c r="K1" s="113"/>
    </row>
    <row r="2" spans="1:11" x14ac:dyDescent="0.3">
      <c r="C2" s="113"/>
      <c r="D2" s="113"/>
      <c r="E2" s="113"/>
      <c r="F2" s="113"/>
      <c r="G2" s="113"/>
      <c r="H2" s="113"/>
      <c r="I2" s="113"/>
      <c r="J2" s="113"/>
      <c r="K2" s="113"/>
    </row>
    <row r="4" spans="1:11" ht="27.6" x14ac:dyDescent="0.3">
      <c r="A4" s="83" t="s">
        <v>101</v>
      </c>
      <c r="B4" s="28" t="s">
        <v>11</v>
      </c>
      <c r="C4" s="28" t="s">
        <v>12</v>
      </c>
      <c r="D4" s="28" t="s">
        <v>13</v>
      </c>
      <c r="E4" s="28" t="s">
        <v>14</v>
      </c>
      <c r="F4" s="28" t="s">
        <v>15</v>
      </c>
      <c r="G4" s="28" t="s">
        <v>16</v>
      </c>
      <c r="H4" s="28" t="s">
        <v>33</v>
      </c>
      <c r="I4" s="28" t="s">
        <v>17</v>
      </c>
    </row>
    <row r="5" spans="1:11" x14ac:dyDescent="0.3">
      <c r="A5" s="64">
        <v>43564</v>
      </c>
      <c r="B5" s="82">
        <f>('Entree FV1'!I5-SFV1a!I5)/'Entree FV1'!I5*100</f>
        <v>80.526315789473685</v>
      </c>
      <c r="C5" s="82">
        <f>('Entree FV1'!J5-SFV1a!J5)/'Entree FV1'!J5*100</f>
        <v>63.513513513513509</v>
      </c>
      <c r="D5" s="82">
        <f>('Entree FV1'!K5-SFV1a!K5)/'Entree FV1'!K5*100</f>
        <v>59.504132231404959</v>
      </c>
      <c r="F5" s="82">
        <f>('Entree FV1'!M5-SFV1a!M5)/'Entree FV1'!M5*100</f>
        <v>37.465412285556162</v>
      </c>
      <c r="G5" s="82">
        <f>('Entree FV1'!N5-SFV1a!N5)/'Entree FV1'!N5*100</f>
        <v>61.818181818181813</v>
      </c>
      <c r="H5" s="82">
        <f>('Entree FV1'!O5-SFV1a!O5)/'Entree FV1'!O5*100</f>
        <v>18.181818181818183</v>
      </c>
      <c r="I5" s="88">
        <f>('Entree FV1'!P5-SFV1a!P5)/'Entree FV1'!P5*100</f>
        <v>33.908045977011483</v>
      </c>
    </row>
    <row r="6" spans="1:11" x14ac:dyDescent="0.3">
      <c r="A6" s="64">
        <v>43571</v>
      </c>
      <c r="B6" s="82">
        <f>('Entree FV1'!I6-SFV1a!I6)/'Entree FV1'!I6*100</f>
        <v>64.070351758793976</v>
      </c>
      <c r="C6" s="82">
        <f>('Entree FV1'!J6-SFV1a!J6)/'Entree FV1'!J6*100</f>
        <v>79.21052631578948</v>
      </c>
      <c r="D6" s="82">
        <f>('Entree FV1'!K6-SFV1a!K6)/'Entree FV1'!K6*100</f>
        <v>64.090909090909093</v>
      </c>
      <c r="E6">
        <v>47.7</v>
      </c>
      <c r="F6" s="82">
        <f>('Entree FV1'!M6-SFV1a!M6)/'Entree FV1'!M6*100</f>
        <v>54.527162977867206</v>
      </c>
      <c r="G6" s="82">
        <f>('Entree FV1'!N6-SFV1a!N6)/'Entree FV1'!N6*100</f>
        <v>63.793103448275865</v>
      </c>
      <c r="H6" s="82">
        <f>('Entree FV1'!O6-SFV1a!O6)/'Entree FV1'!O6*100</f>
        <v>12.5</v>
      </c>
      <c r="I6" s="82">
        <f>('Entree FV1'!P6-SFV1a!P6)/'Entree FV1'!P6*100</f>
        <v>2.4390243902439024</v>
      </c>
    </row>
    <row r="7" spans="1:11" x14ac:dyDescent="0.3">
      <c r="A7" s="64">
        <v>43578</v>
      </c>
      <c r="B7" s="82">
        <f>('Entree FV1'!I7-SFV1a!I7)/'Entree FV1'!I7*100</f>
        <v>87.269681742043545</v>
      </c>
      <c r="C7" s="82">
        <f>('Entree FV1'!J7-SFV1a!J7)/'Entree FV1'!J7*100</f>
        <v>84.503311258278146</v>
      </c>
      <c r="D7" s="82">
        <f>('Entree FV1'!K7-SFV1a!K7)/'Entree FV1'!K7*100</f>
        <v>81.666666666666671</v>
      </c>
      <c r="F7" s="82">
        <f>('Entree FV1'!M7-SFV1a!M7)/'Entree FV1'!M7*100</f>
        <v>33.321033210332104</v>
      </c>
      <c r="G7" s="82">
        <f>('Entree FV1'!N7-SFV1a!N7)/'Entree FV1'!N7*100</f>
        <v>59.649122807017541</v>
      </c>
      <c r="H7" s="82">
        <f>('Entree FV1'!O7-SFV1a!O7)/'Entree FV1'!O7*100</f>
        <v>86.666666666666671</v>
      </c>
      <c r="I7" s="85">
        <f>('Entree FV1'!P7-SFV1a!P7)/'Entree FV1'!P7*100</f>
        <v>-48.275862068965516</v>
      </c>
    </row>
    <row r="8" spans="1:11" x14ac:dyDescent="0.3">
      <c r="A8" s="64">
        <v>43586</v>
      </c>
      <c r="B8" s="82">
        <f>('Entree FV1'!I8-SFV1a!I8)/'Entree FV1'!I8*100</f>
        <v>87.951582867783983</v>
      </c>
      <c r="C8" s="82">
        <f>('Entree FV1'!J8-SFV1a!J8)/'Entree FV1'!J8*100</f>
        <v>81.838235294117652</v>
      </c>
      <c r="D8" s="82">
        <f>('Entree FV1'!K8-SFV1a!K8)/'Entree FV1'!K8*100</f>
        <v>79.508196721311478</v>
      </c>
      <c r="F8" s="82">
        <f>('Entree FV1'!M8-SFV1a!M8)/'Entree FV1'!M8*100</f>
        <v>73.675014560279564</v>
      </c>
      <c r="G8">
        <f>('Entree FV1'!N8-SFV1a!N8)/'Entree FV1'!N8*100</f>
        <v>60</v>
      </c>
      <c r="H8" s="82">
        <f>('Entree FV1'!O8-SFV1a!O8)/'Entree FV1'!O8*100</f>
        <v>60</v>
      </c>
      <c r="I8" s="82">
        <f>('Entree FV1'!P8-SFV1a!P8)/'Entree FV1'!P8*100</f>
        <v>46.078431372549019</v>
      </c>
    </row>
    <row r="9" spans="1:11" x14ac:dyDescent="0.3">
      <c r="A9" s="64">
        <v>43598</v>
      </c>
    </row>
    <row r="10" spans="1:11" x14ac:dyDescent="0.3">
      <c r="A10" s="63">
        <v>43608</v>
      </c>
    </row>
    <row r="11" spans="1:11" x14ac:dyDescent="0.3">
      <c r="A11" s="63">
        <v>43612</v>
      </c>
    </row>
    <row r="12" spans="1:11" x14ac:dyDescent="0.3">
      <c r="A12" s="86">
        <v>43633</v>
      </c>
    </row>
    <row r="14" spans="1:11" ht="27.6" x14ac:dyDescent="0.3">
      <c r="A14" s="83" t="s">
        <v>102</v>
      </c>
      <c r="B14" s="28" t="s">
        <v>11</v>
      </c>
      <c r="C14" s="28" t="s">
        <v>12</v>
      </c>
      <c r="D14" s="28" t="s">
        <v>13</v>
      </c>
      <c r="E14" s="28" t="s">
        <v>14</v>
      </c>
      <c r="F14" s="28" t="s">
        <v>15</v>
      </c>
      <c r="G14" s="28" t="s">
        <v>16</v>
      </c>
      <c r="H14" s="28" t="s">
        <v>33</v>
      </c>
      <c r="I14" s="28" t="s">
        <v>17</v>
      </c>
    </row>
    <row r="15" spans="1:11" x14ac:dyDescent="0.3">
      <c r="A15" s="86">
        <f t="shared" ref="A15:A22" si="0">A5</f>
        <v>43564</v>
      </c>
      <c r="B15" s="82">
        <f>('Entree FV1'!I5-SFV1b!I5)/'Entree FV1'!I5*100</f>
        <v>79.7229916897507</v>
      </c>
      <c r="C15" s="82">
        <f>('Entree FV1'!J5-SFV1b!J5)/'Entree FV1'!J5*100</f>
        <v>67.567567567567565</v>
      </c>
      <c r="D15" s="82">
        <f>('Entree FV1'!K5-SFV1b!K5)/'Entree FV1'!K5*100</f>
        <v>72.314049586776861</v>
      </c>
      <c r="E15" s="82"/>
      <c r="F15" s="82">
        <f>('Entree FV1'!M5-SFV1b!M5)/'Entree FV1'!M5*100</f>
        <v>12.562257885998889</v>
      </c>
      <c r="G15" s="82">
        <f>('Entree FV1'!N5-SFV1b!N5)/'Entree FV1'!N5*100</f>
        <v>43.636363636363633</v>
      </c>
      <c r="H15" s="85">
        <f>('Entree FV1'!O5-SFV1b!O5)/'Entree FV1'!O5*100</f>
        <v>-263.63636363636363</v>
      </c>
      <c r="I15" s="85">
        <f>('Entree FV1'!P5-SFV1b!P5)/'Entree FV1'!P5*100</f>
        <v>-1.7241379310344869</v>
      </c>
    </row>
    <row r="16" spans="1:11" x14ac:dyDescent="0.3">
      <c r="A16" s="86">
        <f t="shared" si="0"/>
        <v>43571</v>
      </c>
      <c r="B16" s="82">
        <f>('Entree FV1'!I6-SFV1b!I6)/'Entree FV1'!I6*100</f>
        <v>65.619765494137354</v>
      </c>
      <c r="C16" s="82">
        <f>('Entree FV1'!J6-SFV1b!J6)/'Entree FV1'!J6*100</f>
        <v>76.140350877192986</v>
      </c>
      <c r="D16" s="82">
        <f>('Entree FV1'!K6-SFV1b!K6)/'Entree FV1'!K6*100</f>
        <v>64.090909090909093</v>
      </c>
      <c r="E16" s="82">
        <v>34</v>
      </c>
      <c r="F16" s="85">
        <f>('Entree FV1'!M6-SFV1b!M6)/'Entree FV1'!M6*100</f>
        <v>-18.189134808853115</v>
      </c>
      <c r="G16" s="82">
        <f>('Entree FV1'!N6-SFV1b!N6)/'Entree FV1'!N6*100</f>
        <v>32.758620689655174</v>
      </c>
      <c r="H16" s="82">
        <f>('Entree FV1'!O6-SFV1b!O6)/'Entree FV1'!O6*100</f>
        <v>67.5</v>
      </c>
      <c r="I16" s="85">
        <f>('Entree FV1'!P6-SFV1b!P6)/'Entree FV1'!P6*100</f>
        <v>-95.121951219512198</v>
      </c>
    </row>
    <row r="17" spans="1:9" x14ac:dyDescent="0.3">
      <c r="A17" s="86">
        <f t="shared" si="0"/>
        <v>43578</v>
      </c>
      <c r="B17" s="82">
        <f>('Entree FV1'!I7-SFV1b!I7)/'Entree FV1'!I7*100</f>
        <v>84.455611390284758</v>
      </c>
      <c r="C17" s="82">
        <f>('Entree FV1'!J7-SFV1b!J7)/'Entree FV1'!J7*100</f>
        <v>81.456953642384107</v>
      </c>
      <c r="D17" s="82">
        <f>('Entree FV1'!K7-SFV1b!K7)/'Entree FV1'!K7*100</f>
        <v>80.666666666666657</v>
      </c>
      <c r="E17" s="82"/>
      <c r="F17" s="82">
        <f>('Entree FV1'!M7-SFV1b!M7)/'Entree FV1'!M7*100</f>
        <v>83.357933579335793</v>
      </c>
      <c r="G17" s="82">
        <f>('Entree FV1'!N7-SFV1b!N7)/'Entree FV1'!N7*100</f>
        <v>33.333333333333329</v>
      </c>
      <c r="H17" s="82">
        <f>('Entree FV1'!O7-SFV1b!O7)/'Entree FV1'!O7*100</f>
        <v>91.111111111111114</v>
      </c>
      <c r="I17" s="82">
        <f>('Entree FV1'!P7-SFV1b!P7)/'Entree FV1'!P7*100</f>
        <v>36.206896551724135</v>
      </c>
    </row>
    <row r="18" spans="1:9" x14ac:dyDescent="0.3">
      <c r="A18" s="86">
        <f t="shared" si="0"/>
        <v>43586</v>
      </c>
      <c r="B18" s="82">
        <f>('Entree FV1'!I8-SFV1b!I8)/'Entree FV1'!I8*100</f>
        <v>83.240223463687144</v>
      </c>
      <c r="C18" s="82">
        <f>('Entree FV1'!J8-SFV1b!J8)/'Entree FV1'!J8*100</f>
        <v>80.882352941176478</v>
      </c>
      <c r="D18" s="82">
        <f>+('Entree FV1'!K8-SFV1b!K8)/'Entree FV1'!K8*100</f>
        <v>75</v>
      </c>
      <c r="E18" s="82"/>
      <c r="F18" s="82">
        <f>('Entree FV1'!M8-SFV1b!M8)/'Entree FV1'!M8*100</f>
        <v>47.350029120559121</v>
      </c>
      <c r="G18" s="82">
        <f>('Entree FV1'!N8-SFV1b!N8)/'Entree FV1'!N8*100</f>
        <v>40</v>
      </c>
      <c r="H18" s="82">
        <f>('Entree FV1'!O8-SFV1b!O8)/'Entree FV1'!O8*100</f>
        <v>13.333333333333334</v>
      </c>
      <c r="I18" s="85">
        <f>('Entree FV1'!P8-SFV1b!P8)/'Entree FV1'!P8*100</f>
        <v>-13.235294117647072</v>
      </c>
    </row>
    <row r="19" spans="1:9" x14ac:dyDescent="0.3">
      <c r="A19" s="86">
        <f t="shared" si="0"/>
        <v>43598</v>
      </c>
    </row>
    <row r="20" spans="1:9" x14ac:dyDescent="0.3">
      <c r="A20" s="86">
        <f t="shared" si="0"/>
        <v>43608</v>
      </c>
    </row>
    <row r="21" spans="1:9" x14ac:dyDescent="0.3">
      <c r="A21" s="86">
        <f t="shared" si="0"/>
        <v>43612</v>
      </c>
    </row>
    <row r="22" spans="1:9" x14ac:dyDescent="0.3">
      <c r="A22" s="86">
        <f t="shared" si="0"/>
        <v>43633</v>
      </c>
    </row>
    <row r="24" spans="1:9" ht="27.6" x14ac:dyDescent="0.3">
      <c r="A24" s="83" t="s">
        <v>103</v>
      </c>
      <c r="B24" s="28" t="s">
        <v>11</v>
      </c>
      <c r="C24" s="28" t="s">
        <v>12</v>
      </c>
      <c r="D24" s="28" t="s">
        <v>13</v>
      </c>
      <c r="E24" s="28" t="s">
        <v>14</v>
      </c>
      <c r="F24" s="28" t="s">
        <v>15</v>
      </c>
      <c r="G24" s="28" t="s">
        <v>16</v>
      </c>
      <c r="H24" s="28" t="s">
        <v>33</v>
      </c>
      <c r="I24" s="28" t="s">
        <v>17</v>
      </c>
    </row>
    <row r="25" spans="1:9" x14ac:dyDescent="0.3">
      <c r="A25" s="86">
        <f t="shared" ref="A25:A32" si="1">A15</f>
        <v>43564</v>
      </c>
      <c r="B25" s="82">
        <f>('Entree FV1'!I5-SFV1c!I5)/'Entree FV1'!I5*100</f>
        <v>82.853185595567865</v>
      </c>
      <c r="C25" s="82">
        <f>('Entree FV1'!J5-SFV1c!J5)/'Entree FV1'!J5*100</f>
        <v>72.027027027027017</v>
      </c>
      <c r="D25" s="82">
        <f>('Entree FV1'!K5-SFV1c!K5)/'Entree FV1'!K5*100</f>
        <v>78.099173553718998</v>
      </c>
      <c r="E25" s="82"/>
      <c r="F25" s="82">
        <f>('Entree FV1'!M5-SFV1c!M5)/'Entree FV1'!M5*100</f>
        <v>0</v>
      </c>
      <c r="G25" s="82">
        <f>('Entree FV1'!N5-SFV1c!N5)/'Entree FV1'!N5*100</f>
        <v>12.727272727272727</v>
      </c>
      <c r="H25" s="89">
        <f>('Entree FV1'!O5-SFV1c!O5)/'Entree FV1'!O5*100</f>
        <v>-81.818181818181827</v>
      </c>
      <c r="I25" s="82">
        <f>('Entree FV1'!P5-SFV1c!P5)/'Entree FV1'!P5*100</f>
        <v>62.5</v>
      </c>
    </row>
    <row r="26" spans="1:9" x14ac:dyDescent="0.3">
      <c r="A26" s="86">
        <f t="shared" si="1"/>
        <v>43571</v>
      </c>
      <c r="B26" s="82">
        <f>('Entree FV1'!I6-SFV1c!I6)/'Entree FV1'!I6*100</f>
        <v>79.899497487437188</v>
      </c>
      <c r="C26" s="82">
        <f>('Entree FV1'!J6-SFV1c!J6)/'Entree FV1'!J6*100</f>
        <v>81.140350877192986</v>
      </c>
      <c r="D26" s="82">
        <f>('Entree FV1'!K6-SFV1c!K6)/'Entree FV1'!K6*100</f>
        <v>75</v>
      </c>
      <c r="E26" s="82">
        <v>18.3</v>
      </c>
      <c r="F26" s="85">
        <f>('Entree FV1'!M6-SFV1c!M6)/'Entree FV1'!M6*100</f>
        <v>-36.338028169014088</v>
      </c>
      <c r="G26" s="82">
        <f>('Entree FV1'!N6-SFV1c!N6)/'Entree FV1'!N6*100</f>
        <v>15.517241379310345</v>
      </c>
      <c r="H26" s="82">
        <f>('Entree FV1'!O6-SFV1c!O6)/'Entree FV1'!O6*100</f>
        <v>85</v>
      </c>
      <c r="I26" s="85">
        <f>('Entree FV1'!P6-SFV1c!P6)/'Entree FV1'!P6*100</f>
        <v>-14.634146341463413</v>
      </c>
    </row>
    <row r="27" spans="1:9" x14ac:dyDescent="0.3">
      <c r="A27" s="86">
        <f t="shared" si="1"/>
        <v>43578</v>
      </c>
      <c r="B27" s="82">
        <f>('Entree FV1'!I7-SFV1c!I7)/'Entree FV1'!I7*100</f>
        <v>90.100502512562812</v>
      </c>
      <c r="C27" s="82">
        <f>('Entree FV1'!J7-SFV1c!J7)/'Entree FV1'!J7*100</f>
        <v>86.092715231788077</v>
      </c>
      <c r="D27" s="82">
        <f>('Entree FV1'!K7-SFV1c!K7)/'Entree FV1'!K7*100</f>
        <v>85.666666666666671</v>
      </c>
      <c r="E27" s="82"/>
      <c r="F27" s="82">
        <f>('Entree FV1'!M7-SFV1c!M7)/'Entree FV1'!M7*100</f>
        <v>91.660516605166066</v>
      </c>
      <c r="G27" s="89">
        <f>('Entree FV1'!N7-SFV1c!N7)/'Entree FV1'!N7*100</f>
        <v>-3.5087719298245612</v>
      </c>
      <c r="H27" s="82">
        <f>('Entree FV1'!O7-SFV1c!O7)/'Entree FV1'!O7*100</f>
        <v>92.222222222222229</v>
      </c>
      <c r="I27" s="85">
        <f>('Entree FV1'!P7-SFV1c!P7)/'Entree FV1'!P7*100</f>
        <v>-37.931034482758619</v>
      </c>
    </row>
    <row r="28" spans="1:9" x14ac:dyDescent="0.3">
      <c r="A28" s="86">
        <f t="shared" si="1"/>
        <v>43586</v>
      </c>
      <c r="B28" s="82">
        <f>('Entree FV1'!I8-SFV1c!I8)/'Entree FV1'!I8*100</f>
        <v>92.662942271880823</v>
      </c>
      <c r="C28" s="82">
        <f>('Entree FV1'!J8-SFV1c!J8)/'Entree FV1'!J8*100</f>
        <v>86.470588235294116</v>
      </c>
      <c r="D28" s="82">
        <f>('Entree FV1'!K8-SFV1c!K8)/'Entree FV1'!K8*100</f>
        <v>88.52459016393442</v>
      </c>
      <c r="E28" s="82"/>
      <c r="F28" s="82">
        <f>('Entree FV1'!M8-SFV1c!M8)/'Entree FV1'!M8*100</f>
        <v>60.512521840419332</v>
      </c>
      <c r="G28" s="89">
        <f>('Entree FV1'!N8-SFV1c!N8)/'Entree FV1'!N8*100</f>
        <v>-20</v>
      </c>
      <c r="H28" s="82">
        <f>('Entree FV1'!O8-SFV1c!O8)/'Entree FV1'!O8*100</f>
        <v>26.666666666666668</v>
      </c>
      <c r="I28" s="82">
        <f>('Entree FV1'!P8-SFV1c!P8)/'Entree FV1'!P8*100</f>
        <v>21.078431372549005</v>
      </c>
    </row>
    <row r="29" spans="1:9" x14ac:dyDescent="0.3">
      <c r="A29" s="86">
        <f t="shared" si="1"/>
        <v>43598</v>
      </c>
    </row>
    <row r="30" spans="1:9" x14ac:dyDescent="0.3">
      <c r="A30" s="86">
        <f t="shared" si="1"/>
        <v>43608</v>
      </c>
    </row>
    <row r="31" spans="1:9" x14ac:dyDescent="0.3">
      <c r="A31" s="86">
        <f t="shared" si="1"/>
        <v>43612</v>
      </c>
    </row>
    <row r="32" spans="1:9" x14ac:dyDescent="0.3">
      <c r="A32" s="86">
        <f t="shared" si="1"/>
        <v>43633</v>
      </c>
    </row>
  </sheetData>
  <mergeCells count="1">
    <mergeCell ref="C1:K2"/>
  </mergeCell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K13" sqref="K13"/>
    </sheetView>
  </sheetViews>
  <sheetFormatPr baseColWidth="10" defaultRowHeight="14.4" x14ac:dyDescent="0.3"/>
  <sheetData>
    <row r="1" spans="1:9" x14ac:dyDescent="0.3">
      <c r="A1" s="114" t="s">
        <v>105</v>
      </c>
      <c r="B1" s="114"/>
      <c r="C1" s="114"/>
      <c r="D1" s="114"/>
      <c r="E1" s="114"/>
      <c r="F1" s="114"/>
      <c r="G1" s="114"/>
      <c r="H1" s="114"/>
      <c r="I1" s="114"/>
    </row>
    <row r="2" spans="1:9" x14ac:dyDescent="0.3">
      <c r="A2" s="114"/>
      <c r="B2" s="114"/>
      <c r="C2" s="114"/>
      <c r="D2" s="114"/>
      <c r="E2" s="114"/>
      <c r="F2" s="114"/>
      <c r="G2" s="114"/>
      <c r="H2" s="114"/>
      <c r="I2" s="114"/>
    </row>
    <row r="4" spans="1:9" ht="27.6" x14ac:dyDescent="0.3">
      <c r="A4" s="83" t="s">
        <v>104</v>
      </c>
      <c r="B4" s="28" t="s">
        <v>11</v>
      </c>
      <c r="C4" s="28" t="s">
        <v>12</v>
      </c>
      <c r="D4" s="28" t="s">
        <v>13</v>
      </c>
      <c r="E4" s="28" t="s">
        <v>14</v>
      </c>
      <c r="F4" s="28" t="s">
        <v>15</v>
      </c>
      <c r="G4" s="28" t="s">
        <v>16</v>
      </c>
      <c r="H4" s="28" t="s">
        <v>33</v>
      </c>
      <c r="I4" s="28" t="s">
        <v>17</v>
      </c>
    </row>
    <row r="5" spans="1:9" x14ac:dyDescent="0.3">
      <c r="A5" s="64">
        <v>43564</v>
      </c>
      <c r="B5" s="82">
        <f>('Entréé FV2'!I5-SFV2a!I5)/'Entréé FV2'!I5*100</f>
        <v>98.035547240411589</v>
      </c>
      <c r="C5" s="82">
        <f>('Entréé FV2'!J5-SFV2a!J5)/'Entréé FV2'!J5*100</f>
        <v>62.761506276150627</v>
      </c>
      <c r="D5" s="82">
        <f>('Entréé FV2'!K5-SFV2a!K5)/'Entréé FV2'!K5*100</f>
        <v>90.366972477064223</v>
      </c>
      <c r="E5" s="82"/>
      <c r="F5" s="82">
        <f>('Entréé FV2'!M5-SFV2a!M5)/'Entréé FV2'!M5*100</f>
        <v>89.5</v>
      </c>
      <c r="G5" s="82">
        <f>('Entréé FV2'!N5-SFV2a!N5)/'Entréé FV2'!N5*100</f>
        <v>98.939849624060145</v>
      </c>
      <c r="H5" s="82">
        <f>('Entréé FV2'!O5-SFV2a!O5)/'Entréé FV2'!O5*100</f>
        <v>78.260869565217391</v>
      </c>
      <c r="I5" s="82">
        <f>('Entréé FV2'!P5-SFV2a!P5)/'Entréé FV2'!P5*100</f>
        <v>97.783251231527089</v>
      </c>
    </row>
    <row r="6" spans="1:9" x14ac:dyDescent="0.3">
      <c r="A6" s="64">
        <v>43571</v>
      </c>
      <c r="B6" s="82">
        <f>('Entréé FV2'!I6-SFV2a!I6)/'Entréé FV2'!I6*100</f>
        <v>98.777211672070408</v>
      </c>
      <c r="C6" s="82">
        <f>('Entréé FV2'!J6-SFV2a!J6)/'Entréé FV2'!J6*100</f>
        <v>42.687747035573118</v>
      </c>
      <c r="D6" s="82">
        <f>('Entréé FV2'!K6-SFV2a!K6)/'Entréé FV2'!K6*100</f>
        <v>74.647887323943664</v>
      </c>
      <c r="E6" s="82">
        <v>37.299999999999997</v>
      </c>
      <c r="F6" s="82">
        <f>('Entréé FV2'!M6-SFV2a!M6)/'Entréé FV2'!M6*100</f>
        <v>52.716297786720332</v>
      </c>
      <c r="G6" s="82">
        <f>('Entréé FV2'!N6-SFV2a!N6)/'Entréé FV2'!N6*100</f>
        <v>85.688073394495419</v>
      </c>
      <c r="H6" s="82">
        <f>('Entréé FV2'!O6-SFV2a!O6)/'Entréé FV2'!O6*100</f>
        <v>67.1875</v>
      </c>
      <c r="I6" s="82">
        <f>('Entréé FV2'!P6-SFV2a!P6)/'Entréé FV2'!P6*100</f>
        <v>84.910179640718567</v>
      </c>
    </row>
    <row r="7" spans="1:9" x14ac:dyDescent="0.3">
      <c r="A7" s="64">
        <v>43578</v>
      </c>
      <c r="B7" s="82">
        <f>('Entréé FV2'!I7-SFV2a!I7)/'Entréé FV2'!I7*100</f>
        <v>99.60508995173322</v>
      </c>
      <c r="C7" s="82">
        <f>('Entréé FV2'!J7-SFV2a!J7)/'Entréé FV2'!J7*100</f>
        <v>55.662983425414367</v>
      </c>
      <c r="D7" s="82">
        <f>('Entréé FV2'!K7-SFV2a!K7)/'Entréé FV2'!K7*100</f>
        <v>73.076923076923066</v>
      </c>
      <c r="E7" s="82"/>
      <c r="F7" s="85">
        <f>('Entréé FV2'!M7-SFV2a!M7)/'Entréé FV2'!M7*100</f>
        <v>-17.270531400966203</v>
      </c>
      <c r="G7" s="82">
        <f>('Entréé FV2'!N7-SFV2a!N7)/'Entréé FV2'!N7*100</f>
        <v>85.25</v>
      </c>
      <c r="H7" s="117">
        <f>('Entréé FV2'!O7-SFV2a!O7)/'Entréé FV2'!O7*100</f>
        <v>2.2222222222222223</v>
      </c>
      <c r="I7" s="82">
        <f>('Entréé FV2'!P7-SFV2a!P7)/'Entréé FV2'!P7*100</f>
        <v>81.970443349753694</v>
      </c>
    </row>
    <row r="8" spans="1:9" x14ac:dyDescent="0.3">
      <c r="A8" s="64">
        <v>43586</v>
      </c>
      <c r="B8" s="82"/>
      <c r="C8" s="82">
        <f>('Entréé FV2'!J8-SFV2a!J8)/'Entréé FV2'!J8*100</f>
        <v>56.150506512301014</v>
      </c>
      <c r="D8" s="82">
        <f>('Entréé FV2'!K8-SFV2a!K8)/'Entréé FV2'!K8*100</f>
        <v>87.050359712230218</v>
      </c>
      <c r="E8" s="82"/>
      <c r="F8" s="82">
        <f>('Entréé FV2'!M8-SFV2a!M8)/'Entréé FV2'!M8*100</f>
        <v>70.058997050147482</v>
      </c>
      <c r="G8" s="82">
        <f>('Entréé FV2'!N8-SFV2a!N8)/'Entréé FV2'!N8*100</f>
        <v>86.36363636363636</v>
      </c>
      <c r="H8" s="117">
        <f>('Entréé FV2'!O8-SFV2a!O8)/'Entréé FV2'!O8*100</f>
        <v>2</v>
      </c>
      <c r="I8" s="82">
        <f>('Entréé FV2'!P8-SFV2a!P8)/'Entréé FV2'!P8*100</f>
        <v>25.298804780876498</v>
      </c>
    </row>
    <row r="9" spans="1:9" x14ac:dyDescent="0.3">
      <c r="A9" s="64">
        <v>43598</v>
      </c>
    </row>
    <row r="10" spans="1:9" x14ac:dyDescent="0.3">
      <c r="A10" s="63">
        <v>43608</v>
      </c>
    </row>
    <row r="11" spans="1:9" x14ac:dyDescent="0.3">
      <c r="A11" s="63">
        <v>43612</v>
      </c>
    </row>
    <row r="12" spans="1:9" x14ac:dyDescent="0.3">
      <c r="A12" s="86">
        <v>43633</v>
      </c>
    </row>
    <row r="15" spans="1:9" ht="27.6" x14ac:dyDescent="0.3">
      <c r="A15" s="83" t="s">
        <v>106</v>
      </c>
      <c r="B15" s="28" t="s">
        <v>11</v>
      </c>
      <c r="C15" s="28" t="s">
        <v>12</v>
      </c>
      <c r="D15" s="28" t="s">
        <v>13</v>
      </c>
      <c r="E15" s="28" t="s">
        <v>14</v>
      </c>
      <c r="F15" s="28" t="s">
        <v>15</v>
      </c>
      <c r="G15" s="28" t="s">
        <v>16</v>
      </c>
      <c r="H15" s="28" t="s">
        <v>33</v>
      </c>
      <c r="I15" s="28" t="s">
        <v>17</v>
      </c>
    </row>
    <row r="16" spans="1:9" x14ac:dyDescent="0.3">
      <c r="A16" s="64">
        <v>43564</v>
      </c>
      <c r="B16" s="82">
        <f>('Entréé FV2'!I5-SFV2b!I5)/'Entréé FV2'!I5*100</f>
        <v>93.264733395696922</v>
      </c>
      <c r="C16" s="82">
        <f>('Entréé FV2'!J5-SFV2b!J5)/'Entréé FV2'!J5*100</f>
        <v>67.36401673640168</v>
      </c>
      <c r="D16" s="82">
        <f>('Entréé FV2'!K5-SFV2b!K5)/'Entréé FV2'!K5*100</f>
        <v>84.862385321100916</v>
      </c>
      <c r="E16" s="82"/>
      <c r="F16" s="82">
        <f>('Entréé FV2'!M5-SFV2b!M5)/'Entréé FV2'!M5*100</f>
        <v>85.75</v>
      </c>
      <c r="G16" s="82">
        <f>('Entréé FV2'!N5-SFV2b!N5)/'Entréé FV2'!N5*100</f>
        <v>99.548872180451127</v>
      </c>
      <c r="H16" s="82">
        <f>('Entréé FV2'!O5-SFV2b!O5)/'Entréé FV2'!O5*100</f>
        <v>86.956521739130437</v>
      </c>
      <c r="I16" s="82">
        <f>('Entréé FV2'!P5-SFV2b!P5)/'Entréé FV2'!P5*100</f>
        <v>96.512315270935957</v>
      </c>
    </row>
    <row r="17" spans="1:9" x14ac:dyDescent="0.3">
      <c r="A17" s="64">
        <v>43571</v>
      </c>
      <c r="B17" s="82">
        <f>('Entréé FV2'!I6-SFV2b!I6)/'Entréé FV2'!I6*100</f>
        <v>98.443723946271405</v>
      </c>
      <c r="C17" s="82">
        <f>('Entréé FV2'!J6-SFV2b!J6)/'Entréé FV2'!J6*100</f>
        <v>77.470355731225297</v>
      </c>
      <c r="D17" s="82">
        <f>('Entréé FV2'!K6-SFV2b!K6)/'Entréé FV2'!K6*100</f>
        <v>74.647887323943664</v>
      </c>
      <c r="E17" s="82">
        <v>44.1</v>
      </c>
      <c r="F17" s="82">
        <f>('Entréé FV2'!M6-SFV2b!M6)/'Entréé FV2'!M6*100</f>
        <v>43.661971830985927</v>
      </c>
      <c r="G17" s="82">
        <f>('Entréé FV2'!N6-SFV2b!N6)/'Entréé FV2'!N6*100</f>
        <v>93.944954128440358</v>
      </c>
      <c r="H17" s="82">
        <f>('Entréé FV2'!O6-SFV2b!O6)/'Entréé FV2'!O6*100</f>
        <v>65.78125</v>
      </c>
      <c r="I17" s="82">
        <f>('Entréé FV2'!P6-SFV2b!P6)/'Entréé FV2'!P6*100</f>
        <v>80.419161676646709</v>
      </c>
    </row>
    <row r="18" spans="1:9" x14ac:dyDescent="0.3">
      <c r="A18" s="64">
        <v>43578</v>
      </c>
      <c r="B18" s="82">
        <f>('Entréé FV2'!I7-SFV2b!I7)/'Entréé FV2'!I7*100</f>
        <v>98.946906537955243</v>
      </c>
      <c r="C18" s="82">
        <f>('Entréé FV2'!J7-SFV2b!J7)/'Entréé FV2'!J7*100</f>
        <v>61.878453038674031</v>
      </c>
      <c r="D18" s="82">
        <f>('Entréé FV2'!K7-SFV2b!K7)/'Entréé FV2'!K7*100</f>
        <v>76.923076923076934</v>
      </c>
      <c r="E18" s="82"/>
      <c r="F18" s="85">
        <f>('Entréé FV2'!M7-SFV2b!M7)/'Entréé FV2'!M7*100</f>
        <v>-28.260869565217391</v>
      </c>
      <c r="G18" s="82">
        <f>('Entréé FV2'!N7-SFV2b!N7)/'Entréé FV2'!N7*100</f>
        <v>94.5</v>
      </c>
      <c r="H18" s="82">
        <f>('Entréé FV2'!O7-SFV2b!O7)/'Entréé FV2'!O7*100</f>
        <v>20</v>
      </c>
      <c r="I18" s="82">
        <f>('Entréé FV2'!P7-SFV2b!P7)/'Entréé FV2'!P7*100</f>
        <v>80.344827586206904</v>
      </c>
    </row>
    <row r="19" spans="1:9" x14ac:dyDescent="0.3">
      <c r="A19" s="64">
        <v>43586</v>
      </c>
      <c r="B19" s="82">
        <f>('Entréé FV2'!I8-SFV2b!I8)/'Entréé FV2'!I8*100</f>
        <v>98.299845440494593</v>
      </c>
      <c r="C19" s="82">
        <f>('Entréé FV2'!J8-SFV2b!J8)/'Entréé FV2'!J8*100</f>
        <v>40.955137481910278</v>
      </c>
      <c r="D19" s="82">
        <f>('Entréé FV2'!K8-SFV2b!K8)/'Entréé FV2'!K8*100</f>
        <v>56.834532374100718</v>
      </c>
      <c r="E19" s="82"/>
      <c r="F19" s="85">
        <f>('Entréé FV2'!M8-SFV2b!M8)/'Entréé FV2'!M8*100</f>
        <v>-43.215339233038357</v>
      </c>
      <c r="G19" s="82">
        <f>('Entréé FV2'!N8-SFV2b!N8)/'Entréé FV2'!N8*100</f>
        <v>94.545454545454547</v>
      </c>
      <c r="H19" s="82">
        <f>('Entréé FV2'!O8-SFV2b!O8)/'Entréé FV2'!O8*100</f>
        <v>27</v>
      </c>
      <c r="I19" s="82">
        <f>('Entréé FV2'!P8-SFV2b!P8)/'Entréé FV2'!P8*100</f>
        <v>16.334661354581677</v>
      </c>
    </row>
    <row r="20" spans="1:9" x14ac:dyDescent="0.3">
      <c r="A20" s="64">
        <v>43598</v>
      </c>
    </row>
    <row r="21" spans="1:9" x14ac:dyDescent="0.3">
      <c r="A21" s="63">
        <v>43608</v>
      </c>
    </row>
    <row r="22" spans="1:9" x14ac:dyDescent="0.3">
      <c r="A22" s="63">
        <v>43612</v>
      </c>
    </row>
    <row r="23" spans="1:9" x14ac:dyDescent="0.3">
      <c r="A23" s="86">
        <v>43633</v>
      </c>
    </row>
  </sheetData>
  <mergeCells count="1">
    <mergeCell ref="A1:I2"/>
  </mergeCells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opLeftCell="A4" workbookViewId="0">
      <selection activeCell="E13" sqref="E13"/>
    </sheetView>
  </sheetViews>
  <sheetFormatPr baseColWidth="10" defaultRowHeight="14.4" x14ac:dyDescent="0.3"/>
  <sheetData>
    <row r="1" spans="1:9" x14ac:dyDescent="0.3">
      <c r="A1" s="114" t="s">
        <v>110</v>
      </c>
      <c r="B1" s="114"/>
      <c r="C1" s="114"/>
      <c r="D1" s="114"/>
      <c r="E1" s="114"/>
      <c r="F1" s="114"/>
      <c r="G1" s="114"/>
      <c r="H1" s="114"/>
      <c r="I1" s="114"/>
    </row>
    <row r="2" spans="1:9" x14ac:dyDescent="0.3">
      <c r="A2" s="114"/>
      <c r="B2" s="114"/>
      <c r="C2" s="114"/>
      <c r="D2" s="114"/>
      <c r="E2" s="114"/>
      <c r="F2" s="114"/>
      <c r="G2" s="114"/>
      <c r="H2" s="114"/>
      <c r="I2" s="114"/>
    </row>
    <row r="4" spans="1:9" ht="27.6" x14ac:dyDescent="0.3">
      <c r="A4" s="90" t="s">
        <v>108</v>
      </c>
      <c r="B4" s="28" t="s">
        <v>11</v>
      </c>
      <c r="C4" s="28" t="s">
        <v>12</v>
      </c>
      <c r="D4" s="28" t="s">
        <v>13</v>
      </c>
      <c r="E4" s="28" t="s">
        <v>14</v>
      </c>
      <c r="F4" s="28" t="s">
        <v>15</v>
      </c>
      <c r="G4" s="28" t="s">
        <v>16</v>
      </c>
      <c r="H4" s="28" t="s">
        <v>33</v>
      </c>
      <c r="I4" s="28" t="s">
        <v>17</v>
      </c>
    </row>
    <row r="5" spans="1:9" x14ac:dyDescent="0.3">
      <c r="A5" s="64">
        <v>43564</v>
      </c>
      <c r="B5" s="82">
        <f>('Entree 1'!I5-SFHa!I5)/'Entree 1'!I5*100</f>
        <v>99.408695652173918</v>
      </c>
      <c r="C5" s="82">
        <f>('Entree 1'!J5-SFHa!J5)/'Entree 1'!J5*100</f>
        <v>90.740740740740748</v>
      </c>
      <c r="D5" s="82">
        <f>('Entree 1'!K5-SFHa!K5)/'Entree 1'!K5*100</f>
        <v>92.342342342342349</v>
      </c>
      <c r="E5" s="82"/>
      <c r="F5" s="82">
        <f>('Entree 1'!M5-SFHa!M5)/'Entree 1'!M5*100</f>
        <v>68.912936546974919</v>
      </c>
      <c r="G5" s="82">
        <f>('Entree 1'!N5-SFHa!N5)/'Entree 1'!N5*100</f>
        <v>84.615384615384613</v>
      </c>
      <c r="H5" s="82">
        <f>('Entree 1'!O5-SFHa!O5)/'Entree 1'!O5*100</f>
        <v>60</v>
      </c>
      <c r="I5" s="82">
        <f>('Entree 1'!P5-SFHa!P5)/'Entree 1'!P5*100</f>
        <v>95.348837209302332</v>
      </c>
    </row>
    <row r="6" spans="1:9" x14ac:dyDescent="0.3">
      <c r="A6" s="64">
        <v>43571</v>
      </c>
      <c r="B6" s="82">
        <f>('Entree 1'!I6-SFHa!I6)/'Entree 1'!I6*100</f>
        <v>99.051490514905154</v>
      </c>
      <c r="C6" s="82">
        <f>('Entree 1'!J6-SFHa!J6)/'Entree 1'!J6*100</f>
        <v>94.014084507042256</v>
      </c>
      <c r="D6" s="82">
        <f>('Entree 1'!K6-SFHa!K6)/'Entree 1'!K6*100</f>
        <v>76.470588235294116</v>
      </c>
      <c r="E6" s="82">
        <v>29.8</v>
      </c>
      <c r="F6" s="82">
        <f>('Entree 1'!M6-SFHa!M6)/'Entree 1'!M6*100</f>
        <v>51.10673880964093</v>
      </c>
      <c r="G6" s="82">
        <f>('Entree 1'!N6-SFHa!N6)/'Entree 1'!N6*100</f>
        <v>87.962962962962948</v>
      </c>
      <c r="H6" s="82">
        <f>('Entree 1'!O6-SFHa!O6)/'Entree 1'!O6*100</f>
        <v>80.666666666666657</v>
      </c>
      <c r="I6" s="82">
        <f>('Entree 1'!P6-SFHa!P6)/'Entree 1'!P6*100</f>
        <v>90.714285714285708</v>
      </c>
    </row>
    <row r="7" spans="1:9" x14ac:dyDescent="0.3">
      <c r="A7" s="64">
        <v>43578</v>
      </c>
      <c r="B7" s="82">
        <f>(2000-SFHa!I7)/2000*100</f>
        <v>99.984999999999999</v>
      </c>
      <c r="C7" s="82">
        <f>('Entree 1'!J7-SFHa!J7)/'Entree 1'!J7*100</f>
        <v>96.679999999999993</v>
      </c>
      <c r="D7" s="82">
        <f>('Entree 1'!K7-SFHa!K7)/'Entree 1'!K7*100</f>
        <v>97.429305912596391</v>
      </c>
      <c r="E7" s="82"/>
      <c r="F7" s="82">
        <f>('Entree 1'!M7-SFHa!M7)/'Entree 1'!M7*100</f>
        <v>82.862563237774026</v>
      </c>
      <c r="G7" s="82">
        <f>('Entree 1'!N7-SFHa!N7)/'Entree 1'!N7*100</f>
        <v>87.553648068669531</v>
      </c>
      <c r="H7" s="82">
        <f>('Entree 1'!O7-SFHa!O7)/'Entree 1'!O7*100</f>
        <v>94.166666666666671</v>
      </c>
      <c r="I7" s="82">
        <f>('Entree 1'!P7-SFHa!P7)/'Entree 1'!P7*100</f>
        <v>96.428571428571431</v>
      </c>
    </row>
    <row r="8" spans="1:9" x14ac:dyDescent="0.3">
      <c r="A8" s="64">
        <v>43586</v>
      </c>
      <c r="B8" s="82">
        <f>('Entree 1'!I8-SFHa!I8)/'Entree 1'!I8*100</f>
        <v>99.56090651558074</v>
      </c>
      <c r="C8" s="82">
        <f>('Entree 1'!J8-SFHa!J8)/'Entree 1'!J8*100</f>
        <v>90.150375939849624</v>
      </c>
      <c r="D8" s="82">
        <f>('Entree 1'!K8-SFHa!K8)/'Entree 1'!K8*100</f>
        <v>97.865853658536579</v>
      </c>
      <c r="E8" s="82"/>
      <c r="F8" s="82">
        <f>('Entree 1'!M8-SFHa!M8)/'Entree 1'!M8*100</f>
        <v>24.288425047438327</v>
      </c>
      <c r="G8" s="82">
        <f>('Entree 1'!N8-SFHa!N8)/'Entree 1'!N8*100</f>
        <v>85</v>
      </c>
      <c r="H8" s="82">
        <f>('Entree 1'!O8-SFHa!O8)/'Entree 1'!O8*100</f>
        <v>42.307692307692307</v>
      </c>
      <c r="I8" s="82">
        <f>('Entree 1'!P8-SFHa!P8)/'Entree 1'!P8*100</f>
        <v>26.356589147286826</v>
      </c>
    </row>
    <row r="9" spans="1:9" x14ac:dyDescent="0.3">
      <c r="A9" s="64">
        <v>43598</v>
      </c>
    </row>
    <row r="10" spans="1:9" x14ac:dyDescent="0.3">
      <c r="A10" s="63">
        <v>43608</v>
      </c>
    </row>
    <row r="11" spans="1:9" x14ac:dyDescent="0.3">
      <c r="A11" s="63">
        <v>43612</v>
      </c>
    </row>
    <row r="12" spans="1:9" x14ac:dyDescent="0.3">
      <c r="A12" s="86">
        <v>43633</v>
      </c>
    </row>
    <row r="15" spans="1:9" ht="27.6" x14ac:dyDescent="0.3">
      <c r="A15" s="90" t="s">
        <v>109</v>
      </c>
      <c r="B15" s="28" t="s">
        <v>11</v>
      </c>
      <c r="C15" s="28" t="s">
        <v>12</v>
      </c>
      <c r="D15" s="28" t="s">
        <v>13</v>
      </c>
      <c r="E15" s="28" t="s">
        <v>14</v>
      </c>
      <c r="F15" s="28" t="s">
        <v>15</v>
      </c>
      <c r="G15" s="28" t="s">
        <v>16</v>
      </c>
      <c r="H15" s="28" t="s">
        <v>33</v>
      </c>
      <c r="I15" s="28" t="s">
        <v>17</v>
      </c>
    </row>
    <row r="16" spans="1:9" x14ac:dyDescent="0.3">
      <c r="A16" s="64">
        <v>43564</v>
      </c>
    </row>
    <row r="17" spans="1:1" x14ac:dyDescent="0.3">
      <c r="A17" s="64">
        <v>43571</v>
      </c>
    </row>
    <row r="18" spans="1:1" x14ac:dyDescent="0.3">
      <c r="A18" s="64">
        <v>43578</v>
      </c>
    </row>
    <row r="19" spans="1:1" x14ac:dyDescent="0.3">
      <c r="A19" s="64">
        <v>43586</v>
      </c>
    </row>
    <row r="20" spans="1:1" x14ac:dyDescent="0.3">
      <c r="A20" s="64">
        <v>43598</v>
      </c>
    </row>
    <row r="21" spans="1:1" x14ac:dyDescent="0.3">
      <c r="A21" s="63">
        <v>43608</v>
      </c>
    </row>
    <row r="22" spans="1:1" x14ac:dyDescent="0.3">
      <c r="A22" s="63">
        <v>43612</v>
      </c>
    </row>
    <row r="23" spans="1:1" x14ac:dyDescent="0.3">
      <c r="A23" s="86">
        <v>43633</v>
      </c>
    </row>
  </sheetData>
  <mergeCells count="1">
    <mergeCell ref="A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Entree 1</vt:lpstr>
      <vt:lpstr>Entree FV1</vt:lpstr>
      <vt:lpstr>SFV1a</vt:lpstr>
      <vt:lpstr>SFV1b</vt:lpstr>
      <vt:lpstr>SFV1c</vt:lpstr>
      <vt:lpstr>Entréé FV2</vt:lpstr>
      <vt:lpstr>SFV2a</vt:lpstr>
      <vt:lpstr>SFV2b</vt:lpstr>
      <vt:lpstr>SFHa</vt:lpstr>
      <vt:lpstr>SFHb</vt:lpstr>
      <vt:lpstr>% él FV1</vt:lpstr>
      <vt:lpstr>% él FV2</vt:lpstr>
      <vt:lpstr>% él de la station</vt:lpstr>
    </vt:vector>
  </TitlesOfParts>
  <Company>UdG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Ignasi</dc:creator>
  <cp:lastModifiedBy>Moustapha TOURE</cp:lastModifiedBy>
  <dcterms:created xsi:type="dcterms:W3CDTF">2019-04-09T11:41:07Z</dcterms:created>
  <dcterms:modified xsi:type="dcterms:W3CDTF">2019-06-26T06:28:27Z</dcterms:modified>
</cp:coreProperties>
</file>